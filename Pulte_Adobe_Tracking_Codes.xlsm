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ssemblyglobal-my.sharepoint.com/personal/uday_gutipally_assemblyglobal_com/Documents/Desktop/"/>
    </mc:Choice>
  </mc:AlternateContent>
  <xr:revisionPtr revIDLastSave="25" documentId="13_ncr:1_{87A34672-D919-4491-9628-C4009FA398CE}" xr6:coauthVersionLast="47" xr6:coauthVersionMax="47" xr10:uidLastSave="{F5204AEB-3571-4BA0-B59A-0EC514B94416}"/>
  <bookViews>
    <workbookView xWindow="-110" yWindow="-110" windowWidth="19420" windowHeight="11500" tabRatio="439" xr2:uid="{00000000-000D-0000-FFFF-FFFF00000000}"/>
  </bookViews>
  <sheets>
    <sheet name="ChannelTrackingCode" sheetId="6" r:id="rId1"/>
    <sheet name="ChannelTrackingValues" sheetId="2" r:id="rId2"/>
    <sheet name="Sheet1" sheetId="7" r:id="rId3"/>
    <sheet name="SEM Region Mapping Tab" sheetId="8" r:id="rId4"/>
    <sheet name="Copy of UTM Code Generator" sheetId="3" state="hidden" r:id="rId5"/>
    <sheet name="Adobe Campaign Code Generator" sheetId="4" state="hidden" r:id="rId6"/>
    <sheet name="Adobe Parameters" sheetId="5" state="hidden" r:id="rId7"/>
  </sheets>
  <definedNames>
    <definedName name="_xlnm._FilterDatabase" localSheetId="3" hidden="1">'SEM Region Mapping Tab'!$A$2:$D$82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1" i="6" l="1"/>
  <c r="R11" i="6" s="1"/>
  <c r="R7" i="6" l="1"/>
  <c r="R3" i="6"/>
  <c r="R9" i="6"/>
  <c r="R17" i="6"/>
  <c r="R13" i="6" l="1"/>
  <c r="R5" i="6"/>
  <c r="R15" i="6"/>
  <c r="C21" i="6" l="1"/>
  <c r="M350" i="4" l="1"/>
  <c r="L350" i="4"/>
  <c r="K350" i="4"/>
  <c r="J350" i="4"/>
  <c r="I350" i="4"/>
  <c r="M349" i="4"/>
  <c r="L349" i="4"/>
  <c r="K349" i="4"/>
  <c r="J349" i="4"/>
  <c r="I349" i="4"/>
  <c r="M348" i="4"/>
  <c r="L348" i="4"/>
  <c r="K348" i="4"/>
  <c r="J348" i="4"/>
  <c r="I348" i="4"/>
  <c r="M347" i="4"/>
  <c r="L347" i="4"/>
  <c r="K347" i="4"/>
  <c r="J347" i="4"/>
  <c r="I347" i="4"/>
  <c r="M346" i="4"/>
  <c r="L346" i="4"/>
  <c r="K346" i="4"/>
  <c r="J346" i="4"/>
  <c r="I346" i="4"/>
  <c r="M345" i="4"/>
  <c r="L345" i="4"/>
  <c r="K345" i="4"/>
  <c r="J345" i="4"/>
  <c r="I345" i="4"/>
  <c r="M344" i="4"/>
  <c r="L344" i="4"/>
  <c r="K344" i="4"/>
  <c r="J344" i="4"/>
  <c r="I344" i="4"/>
  <c r="M343" i="4"/>
  <c r="L343" i="4"/>
  <c r="K343" i="4"/>
  <c r="J343" i="4"/>
  <c r="I343" i="4"/>
  <c r="M342" i="4"/>
  <c r="L342" i="4"/>
  <c r="K342" i="4"/>
  <c r="J342" i="4"/>
  <c r="I342" i="4"/>
  <c r="M341" i="4"/>
  <c r="L341" i="4"/>
  <c r="K341" i="4"/>
  <c r="J341" i="4"/>
  <c r="I341" i="4"/>
  <c r="M340" i="4"/>
  <c r="L340" i="4"/>
  <c r="K340" i="4"/>
  <c r="J340" i="4"/>
  <c r="I340" i="4"/>
  <c r="M339" i="4"/>
  <c r="L339" i="4"/>
  <c r="K339" i="4"/>
  <c r="J339" i="4"/>
  <c r="I339" i="4"/>
  <c r="M338" i="4"/>
  <c r="L338" i="4"/>
  <c r="K338" i="4"/>
  <c r="J338" i="4"/>
  <c r="I338" i="4"/>
  <c r="M337" i="4"/>
  <c r="L337" i="4"/>
  <c r="K337" i="4"/>
  <c r="J337" i="4"/>
  <c r="I337" i="4"/>
  <c r="M336" i="4"/>
  <c r="L336" i="4"/>
  <c r="K336" i="4"/>
  <c r="J336" i="4"/>
  <c r="I336" i="4"/>
  <c r="M335" i="4"/>
  <c r="L335" i="4"/>
  <c r="K335" i="4"/>
  <c r="J335" i="4"/>
  <c r="I335" i="4"/>
  <c r="M334" i="4"/>
  <c r="L334" i="4"/>
  <c r="K334" i="4"/>
  <c r="J334" i="4"/>
  <c r="I334" i="4"/>
  <c r="M333" i="4"/>
  <c r="L333" i="4"/>
  <c r="K333" i="4"/>
  <c r="J333" i="4"/>
  <c r="I333" i="4"/>
  <c r="M332" i="4"/>
  <c r="L332" i="4"/>
  <c r="K332" i="4"/>
  <c r="J332" i="4"/>
  <c r="I332" i="4"/>
  <c r="M331" i="4"/>
  <c r="L331" i="4"/>
  <c r="K331" i="4"/>
  <c r="J331" i="4"/>
  <c r="I331" i="4"/>
  <c r="M330" i="4"/>
  <c r="L330" i="4"/>
  <c r="K330" i="4"/>
  <c r="J330" i="4"/>
  <c r="I330" i="4"/>
  <c r="M329" i="4"/>
  <c r="L329" i="4"/>
  <c r="K329" i="4"/>
  <c r="J329" i="4"/>
  <c r="I329" i="4"/>
  <c r="M328" i="4"/>
  <c r="L328" i="4"/>
  <c r="K328" i="4"/>
  <c r="J328" i="4"/>
  <c r="I328" i="4"/>
  <c r="M327" i="4"/>
  <c r="L327" i="4"/>
  <c r="K327" i="4"/>
  <c r="J327" i="4"/>
  <c r="I327" i="4"/>
  <c r="M326" i="4"/>
  <c r="L326" i="4"/>
  <c r="K326" i="4"/>
  <c r="J326" i="4"/>
  <c r="I326" i="4"/>
  <c r="M325" i="4"/>
  <c r="L325" i="4"/>
  <c r="K325" i="4"/>
  <c r="J325" i="4"/>
  <c r="I325" i="4"/>
  <c r="M324" i="4"/>
  <c r="L324" i="4"/>
  <c r="K324" i="4"/>
  <c r="J324" i="4"/>
  <c r="I324" i="4"/>
  <c r="M323" i="4"/>
  <c r="L323" i="4"/>
  <c r="K323" i="4"/>
  <c r="J323" i="4"/>
  <c r="I323" i="4"/>
  <c r="M322" i="4"/>
  <c r="L322" i="4"/>
  <c r="K322" i="4"/>
  <c r="J322" i="4"/>
  <c r="I322" i="4"/>
  <c r="M321" i="4"/>
  <c r="L321" i="4"/>
  <c r="K321" i="4"/>
  <c r="J321" i="4"/>
  <c r="I321" i="4"/>
  <c r="M320" i="4"/>
  <c r="L320" i="4"/>
  <c r="K320" i="4"/>
  <c r="J320" i="4"/>
  <c r="I320" i="4"/>
  <c r="M319" i="4"/>
  <c r="L319" i="4"/>
  <c r="K319" i="4"/>
  <c r="J319" i="4"/>
  <c r="I319" i="4"/>
  <c r="M318" i="4"/>
  <c r="L318" i="4"/>
  <c r="K318" i="4"/>
  <c r="J318" i="4"/>
  <c r="I318" i="4"/>
  <c r="M317" i="4"/>
  <c r="L317" i="4"/>
  <c r="K317" i="4"/>
  <c r="J317" i="4"/>
  <c r="I317" i="4"/>
  <c r="M316" i="4"/>
  <c r="L316" i="4"/>
  <c r="K316" i="4"/>
  <c r="J316" i="4"/>
  <c r="I316" i="4"/>
  <c r="M315" i="4"/>
  <c r="L315" i="4"/>
  <c r="K315" i="4"/>
  <c r="J315" i="4"/>
  <c r="I315" i="4"/>
  <c r="M314" i="4"/>
  <c r="L314" i="4"/>
  <c r="K314" i="4"/>
  <c r="J314" i="4"/>
  <c r="I314" i="4"/>
  <c r="M313" i="4"/>
  <c r="L313" i="4"/>
  <c r="K313" i="4"/>
  <c r="J313" i="4"/>
  <c r="I313" i="4"/>
  <c r="M312" i="4"/>
  <c r="L312" i="4"/>
  <c r="K312" i="4"/>
  <c r="J312" i="4"/>
  <c r="I312" i="4"/>
  <c r="M311" i="4"/>
  <c r="L311" i="4"/>
  <c r="K311" i="4"/>
  <c r="J311" i="4"/>
  <c r="I311" i="4"/>
  <c r="M310" i="4"/>
  <c r="L310" i="4"/>
  <c r="K310" i="4"/>
  <c r="J310" i="4"/>
  <c r="I310" i="4"/>
  <c r="M309" i="4"/>
  <c r="L309" i="4"/>
  <c r="K309" i="4"/>
  <c r="J309" i="4"/>
  <c r="I309" i="4"/>
  <c r="M308" i="4"/>
  <c r="L308" i="4"/>
  <c r="K308" i="4"/>
  <c r="J308" i="4"/>
  <c r="I308" i="4"/>
  <c r="M307" i="4"/>
  <c r="L307" i="4"/>
  <c r="K307" i="4"/>
  <c r="J307" i="4"/>
  <c r="I307" i="4"/>
  <c r="M306" i="4"/>
  <c r="L306" i="4"/>
  <c r="K306" i="4"/>
  <c r="J306" i="4"/>
  <c r="I306" i="4"/>
  <c r="M305" i="4"/>
  <c r="L305" i="4"/>
  <c r="K305" i="4"/>
  <c r="J305" i="4"/>
  <c r="I305" i="4"/>
  <c r="M304" i="4"/>
  <c r="L304" i="4"/>
  <c r="K304" i="4"/>
  <c r="J304" i="4"/>
  <c r="I304" i="4"/>
  <c r="M303" i="4"/>
  <c r="L303" i="4"/>
  <c r="K303" i="4"/>
  <c r="J303" i="4"/>
  <c r="I303" i="4"/>
  <c r="M302" i="4"/>
  <c r="L302" i="4"/>
  <c r="K302" i="4"/>
  <c r="J302" i="4"/>
  <c r="I302" i="4"/>
  <c r="M301" i="4"/>
  <c r="L301" i="4"/>
  <c r="K301" i="4"/>
  <c r="J301" i="4"/>
  <c r="I301" i="4"/>
  <c r="M300" i="4"/>
  <c r="L300" i="4"/>
  <c r="K300" i="4"/>
  <c r="J300" i="4"/>
  <c r="I300" i="4"/>
  <c r="M299" i="4"/>
  <c r="L299" i="4"/>
  <c r="K299" i="4"/>
  <c r="J299" i="4"/>
  <c r="I299" i="4"/>
  <c r="M298" i="4"/>
  <c r="L298" i="4"/>
  <c r="K298" i="4"/>
  <c r="J298" i="4"/>
  <c r="I298" i="4"/>
  <c r="M297" i="4"/>
  <c r="L297" i="4"/>
  <c r="K297" i="4"/>
  <c r="J297" i="4"/>
  <c r="I297" i="4"/>
  <c r="M296" i="4"/>
  <c r="L296" i="4"/>
  <c r="K296" i="4"/>
  <c r="J296" i="4"/>
  <c r="I296" i="4"/>
  <c r="M295" i="4"/>
  <c r="L295" i="4"/>
  <c r="K295" i="4"/>
  <c r="J295" i="4"/>
  <c r="I295" i="4"/>
  <c r="M294" i="4"/>
  <c r="L294" i="4"/>
  <c r="K294" i="4"/>
  <c r="J294" i="4"/>
  <c r="I294" i="4"/>
  <c r="M293" i="4"/>
  <c r="L293" i="4"/>
  <c r="K293" i="4"/>
  <c r="J293" i="4"/>
  <c r="I293" i="4"/>
  <c r="M292" i="4"/>
  <c r="L292" i="4"/>
  <c r="K292" i="4"/>
  <c r="J292" i="4"/>
  <c r="I292" i="4"/>
  <c r="M291" i="4"/>
  <c r="L291" i="4"/>
  <c r="K291" i="4"/>
  <c r="J291" i="4"/>
  <c r="I291" i="4"/>
  <c r="M290" i="4"/>
  <c r="L290" i="4"/>
  <c r="K290" i="4"/>
  <c r="J290" i="4"/>
  <c r="I290" i="4"/>
  <c r="M289" i="4"/>
  <c r="L289" i="4"/>
  <c r="K289" i="4"/>
  <c r="J289" i="4"/>
  <c r="I289" i="4"/>
  <c r="M288" i="4"/>
  <c r="L288" i="4"/>
  <c r="K288" i="4"/>
  <c r="J288" i="4"/>
  <c r="I288" i="4"/>
  <c r="M287" i="4"/>
  <c r="L287" i="4"/>
  <c r="K287" i="4"/>
  <c r="J287" i="4"/>
  <c r="I287" i="4"/>
  <c r="M286" i="4"/>
  <c r="L286" i="4"/>
  <c r="K286" i="4"/>
  <c r="J286" i="4"/>
  <c r="I286" i="4"/>
  <c r="M285" i="4"/>
  <c r="L285" i="4"/>
  <c r="K285" i="4"/>
  <c r="J285" i="4"/>
  <c r="I285" i="4"/>
  <c r="M284" i="4"/>
  <c r="L284" i="4"/>
  <c r="K284" i="4"/>
  <c r="J284" i="4"/>
  <c r="I284" i="4"/>
  <c r="M283" i="4"/>
  <c r="L283" i="4"/>
  <c r="K283" i="4"/>
  <c r="J283" i="4"/>
  <c r="I283" i="4"/>
  <c r="M282" i="4"/>
  <c r="L282" i="4"/>
  <c r="K282" i="4"/>
  <c r="J282" i="4"/>
  <c r="I282" i="4"/>
  <c r="M281" i="4"/>
  <c r="L281" i="4"/>
  <c r="K281" i="4"/>
  <c r="J281" i="4"/>
  <c r="I281" i="4"/>
  <c r="M280" i="4"/>
  <c r="L280" i="4"/>
  <c r="K280" i="4"/>
  <c r="J280" i="4"/>
  <c r="I280" i="4"/>
  <c r="M279" i="4"/>
  <c r="L279" i="4"/>
  <c r="K279" i="4"/>
  <c r="J279" i="4"/>
  <c r="I279" i="4"/>
  <c r="M278" i="4"/>
  <c r="L278" i="4"/>
  <c r="K278" i="4"/>
  <c r="J278" i="4"/>
  <c r="I278" i="4"/>
  <c r="M277" i="4"/>
  <c r="L277" i="4"/>
  <c r="K277" i="4"/>
  <c r="J277" i="4"/>
  <c r="I277" i="4"/>
  <c r="M276" i="4"/>
  <c r="L276" i="4"/>
  <c r="K276" i="4"/>
  <c r="J276" i="4"/>
  <c r="I276" i="4"/>
  <c r="M275" i="4"/>
  <c r="L275" i="4"/>
  <c r="K275" i="4"/>
  <c r="J275" i="4"/>
  <c r="I275" i="4"/>
  <c r="M274" i="4"/>
  <c r="L274" i="4"/>
  <c r="K274" i="4"/>
  <c r="J274" i="4"/>
  <c r="I274" i="4"/>
  <c r="M273" i="4"/>
  <c r="L273" i="4"/>
  <c r="K273" i="4"/>
  <c r="J273" i="4"/>
  <c r="I273" i="4"/>
  <c r="M272" i="4"/>
  <c r="L272" i="4"/>
  <c r="K272" i="4"/>
  <c r="J272" i="4"/>
  <c r="I272" i="4"/>
  <c r="M271" i="4"/>
  <c r="L271" i="4"/>
  <c r="K271" i="4"/>
  <c r="J271" i="4"/>
  <c r="I271" i="4"/>
  <c r="M270" i="4"/>
  <c r="L270" i="4"/>
  <c r="K270" i="4"/>
  <c r="J270" i="4"/>
  <c r="I270" i="4"/>
  <c r="M269" i="4"/>
  <c r="L269" i="4"/>
  <c r="K269" i="4"/>
  <c r="J269" i="4"/>
  <c r="I269" i="4"/>
  <c r="M268" i="4"/>
  <c r="L268" i="4"/>
  <c r="K268" i="4"/>
  <c r="J268" i="4"/>
  <c r="I268" i="4"/>
  <c r="M267" i="4"/>
  <c r="L267" i="4"/>
  <c r="K267" i="4"/>
  <c r="J267" i="4"/>
  <c r="I267" i="4"/>
  <c r="M266" i="4"/>
  <c r="L266" i="4"/>
  <c r="K266" i="4"/>
  <c r="J266" i="4"/>
  <c r="I266" i="4"/>
  <c r="M265" i="4"/>
  <c r="L265" i="4"/>
  <c r="K265" i="4"/>
  <c r="J265" i="4"/>
  <c r="I265" i="4"/>
  <c r="M264" i="4"/>
  <c r="L264" i="4"/>
  <c r="K264" i="4"/>
  <c r="J264" i="4"/>
  <c r="I264" i="4"/>
  <c r="M263" i="4"/>
  <c r="L263" i="4"/>
  <c r="K263" i="4"/>
  <c r="J263" i="4"/>
  <c r="I263" i="4"/>
  <c r="M262" i="4"/>
  <c r="L262" i="4"/>
  <c r="K262" i="4"/>
  <c r="J262" i="4"/>
  <c r="I262" i="4"/>
  <c r="M261" i="4"/>
  <c r="L261" i="4"/>
  <c r="K261" i="4"/>
  <c r="J261" i="4"/>
  <c r="I261" i="4"/>
  <c r="M260" i="4"/>
  <c r="L260" i="4"/>
  <c r="K260" i="4"/>
  <c r="J260" i="4"/>
  <c r="I260" i="4"/>
  <c r="M259" i="4"/>
  <c r="L259" i="4"/>
  <c r="K259" i="4"/>
  <c r="J259" i="4"/>
  <c r="I259" i="4"/>
  <c r="M258" i="4"/>
  <c r="L258" i="4"/>
  <c r="K258" i="4"/>
  <c r="J258" i="4"/>
  <c r="I258" i="4"/>
  <c r="M257" i="4"/>
  <c r="L257" i="4"/>
  <c r="K257" i="4"/>
  <c r="J257" i="4"/>
  <c r="I257" i="4"/>
  <c r="M256" i="4"/>
  <c r="L256" i="4"/>
  <c r="K256" i="4"/>
  <c r="J256" i="4"/>
  <c r="I256" i="4"/>
  <c r="M255" i="4"/>
  <c r="L255" i="4"/>
  <c r="K255" i="4"/>
  <c r="J255" i="4"/>
  <c r="I255" i="4"/>
  <c r="M254" i="4"/>
  <c r="L254" i="4"/>
  <c r="K254" i="4"/>
  <c r="J254" i="4"/>
  <c r="I254" i="4"/>
  <c r="M253" i="4"/>
  <c r="L253" i="4"/>
  <c r="K253" i="4"/>
  <c r="J253" i="4"/>
  <c r="I253" i="4"/>
  <c r="M252" i="4"/>
  <c r="L252" i="4"/>
  <c r="K252" i="4"/>
  <c r="J252" i="4"/>
  <c r="I252" i="4"/>
  <c r="M251" i="4"/>
  <c r="L251" i="4"/>
  <c r="K251" i="4"/>
  <c r="J251" i="4"/>
  <c r="I251" i="4"/>
  <c r="M250" i="4"/>
  <c r="L250" i="4"/>
  <c r="K250" i="4"/>
  <c r="J250" i="4"/>
  <c r="I250" i="4"/>
  <c r="M249" i="4"/>
  <c r="L249" i="4"/>
  <c r="K249" i="4"/>
  <c r="J249" i="4"/>
  <c r="I249" i="4"/>
  <c r="M248" i="4"/>
  <c r="L248" i="4"/>
  <c r="K248" i="4"/>
  <c r="J248" i="4"/>
  <c r="I248" i="4"/>
  <c r="M247" i="4"/>
  <c r="L247" i="4"/>
  <c r="K247" i="4"/>
  <c r="J247" i="4"/>
  <c r="I247" i="4"/>
  <c r="M246" i="4"/>
  <c r="L246" i="4"/>
  <c r="K246" i="4"/>
  <c r="J246" i="4"/>
  <c r="I246" i="4"/>
  <c r="M245" i="4"/>
  <c r="L245" i="4"/>
  <c r="K245" i="4"/>
  <c r="J245" i="4"/>
  <c r="I245" i="4"/>
  <c r="M244" i="4"/>
  <c r="L244" i="4"/>
  <c r="K244" i="4"/>
  <c r="J244" i="4"/>
  <c r="I244" i="4"/>
  <c r="M243" i="4"/>
  <c r="L243" i="4"/>
  <c r="K243" i="4"/>
  <c r="J243" i="4"/>
  <c r="I243" i="4"/>
  <c r="M242" i="4"/>
  <c r="L242" i="4"/>
  <c r="K242" i="4"/>
  <c r="J242" i="4"/>
  <c r="I242" i="4"/>
  <c r="M241" i="4"/>
  <c r="L241" i="4"/>
  <c r="K241" i="4"/>
  <c r="J241" i="4"/>
  <c r="I241" i="4"/>
  <c r="M240" i="4"/>
  <c r="L240" i="4"/>
  <c r="K240" i="4"/>
  <c r="J240" i="4"/>
  <c r="I240" i="4"/>
  <c r="M239" i="4"/>
  <c r="L239" i="4"/>
  <c r="K239" i="4"/>
  <c r="J239" i="4"/>
  <c r="I239" i="4"/>
  <c r="M238" i="4"/>
  <c r="L238" i="4"/>
  <c r="K238" i="4"/>
  <c r="J238" i="4"/>
  <c r="I238" i="4"/>
  <c r="M237" i="4"/>
  <c r="L237" i="4"/>
  <c r="K237" i="4"/>
  <c r="J237" i="4"/>
  <c r="I237" i="4"/>
  <c r="M236" i="4"/>
  <c r="L236" i="4"/>
  <c r="K236" i="4"/>
  <c r="J236" i="4"/>
  <c r="I236" i="4"/>
  <c r="M235" i="4"/>
  <c r="L235" i="4"/>
  <c r="K235" i="4"/>
  <c r="J235" i="4"/>
  <c r="I235" i="4"/>
  <c r="M234" i="4"/>
  <c r="L234" i="4"/>
  <c r="K234" i="4"/>
  <c r="J234" i="4"/>
  <c r="I234" i="4"/>
  <c r="M233" i="4"/>
  <c r="L233" i="4"/>
  <c r="K233" i="4"/>
  <c r="J233" i="4"/>
  <c r="I233" i="4"/>
  <c r="M232" i="4"/>
  <c r="L232" i="4"/>
  <c r="K232" i="4"/>
  <c r="J232" i="4"/>
  <c r="I232" i="4"/>
  <c r="M231" i="4"/>
  <c r="L231" i="4"/>
  <c r="K231" i="4"/>
  <c r="J231" i="4"/>
  <c r="I231" i="4"/>
  <c r="M230" i="4"/>
  <c r="L230" i="4"/>
  <c r="K230" i="4"/>
  <c r="J230" i="4"/>
  <c r="I230" i="4"/>
  <c r="M229" i="4"/>
  <c r="L229" i="4"/>
  <c r="K229" i="4"/>
  <c r="J229" i="4"/>
  <c r="I229" i="4"/>
  <c r="M228" i="4"/>
  <c r="L228" i="4"/>
  <c r="K228" i="4"/>
  <c r="J228" i="4"/>
  <c r="I228" i="4"/>
  <c r="M227" i="4"/>
  <c r="L227" i="4"/>
  <c r="K227" i="4"/>
  <c r="J227" i="4"/>
  <c r="I227" i="4"/>
  <c r="M226" i="4"/>
  <c r="L226" i="4"/>
  <c r="K226" i="4"/>
  <c r="J226" i="4"/>
  <c r="I226" i="4"/>
  <c r="M225" i="4"/>
  <c r="L225" i="4"/>
  <c r="K225" i="4"/>
  <c r="J225" i="4"/>
  <c r="I225" i="4"/>
  <c r="M224" i="4"/>
  <c r="L224" i="4"/>
  <c r="K224" i="4"/>
  <c r="J224" i="4"/>
  <c r="I224" i="4"/>
  <c r="M223" i="4"/>
  <c r="L223" i="4"/>
  <c r="K223" i="4"/>
  <c r="J223" i="4"/>
  <c r="I223" i="4"/>
  <c r="M222" i="4"/>
  <c r="L222" i="4"/>
  <c r="K222" i="4"/>
  <c r="J222" i="4"/>
  <c r="I222" i="4"/>
  <c r="M221" i="4"/>
  <c r="L221" i="4"/>
  <c r="K221" i="4"/>
  <c r="J221" i="4"/>
  <c r="I221" i="4"/>
  <c r="M220" i="4"/>
  <c r="L220" i="4"/>
  <c r="K220" i="4"/>
  <c r="J220" i="4"/>
  <c r="I220" i="4"/>
  <c r="M219" i="4"/>
  <c r="L219" i="4"/>
  <c r="K219" i="4"/>
  <c r="J219" i="4"/>
  <c r="I219" i="4"/>
  <c r="M218" i="4"/>
  <c r="L218" i="4"/>
  <c r="K218" i="4"/>
  <c r="J218" i="4"/>
  <c r="I218" i="4"/>
  <c r="M217" i="4"/>
  <c r="L217" i="4"/>
  <c r="K217" i="4"/>
  <c r="J217" i="4"/>
  <c r="I217" i="4"/>
  <c r="M216" i="4"/>
  <c r="L216" i="4"/>
  <c r="K216" i="4"/>
  <c r="J216" i="4"/>
  <c r="I216" i="4"/>
  <c r="M215" i="4"/>
  <c r="L215" i="4"/>
  <c r="K215" i="4"/>
  <c r="J215" i="4"/>
  <c r="I215" i="4"/>
  <c r="M214" i="4"/>
  <c r="L214" i="4"/>
  <c r="K214" i="4"/>
  <c r="J214" i="4"/>
  <c r="I214" i="4"/>
  <c r="M213" i="4"/>
  <c r="L213" i="4"/>
  <c r="K213" i="4"/>
  <c r="J213" i="4"/>
  <c r="I213" i="4"/>
  <c r="M212" i="4"/>
  <c r="L212" i="4"/>
  <c r="K212" i="4"/>
  <c r="J212" i="4"/>
  <c r="I212" i="4"/>
  <c r="M211" i="4"/>
  <c r="L211" i="4"/>
  <c r="K211" i="4"/>
  <c r="J211" i="4"/>
  <c r="I211" i="4"/>
  <c r="M210" i="4"/>
  <c r="L210" i="4"/>
  <c r="K210" i="4"/>
  <c r="J210" i="4"/>
  <c r="I210" i="4"/>
  <c r="M209" i="4"/>
  <c r="L209" i="4"/>
  <c r="K209" i="4"/>
  <c r="J209" i="4"/>
  <c r="I209" i="4"/>
  <c r="M208" i="4"/>
  <c r="L208" i="4"/>
  <c r="K208" i="4"/>
  <c r="J208" i="4"/>
  <c r="I208" i="4"/>
  <c r="M207" i="4"/>
  <c r="L207" i="4"/>
  <c r="K207" i="4"/>
  <c r="J207" i="4"/>
  <c r="I207" i="4"/>
  <c r="M206" i="4"/>
  <c r="L206" i="4"/>
  <c r="K206" i="4"/>
  <c r="J206" i="4"/>
  <c r="I206" i="4"/>
  <c r="M205" i="4"/>
  <c r="L205" i="4"/>
  <c r="K205" i="4"/>
  <c r="J205" i="4"/>
  <c r="I205" i="4"/>
  <c r="M204" i="4"/>
  <c r="L204" i="4"/>
  <c r="K204" i="4"/>
  <c r="J204" i="4"/>
  <c r="I204" i="4"/>
  <c r="M203" i="4"/>
  <c r="L203" i="4"/>
  <c r="K203" i="4"/>
  <c r="J203" i="4"/>
  <c r="I203" i="4"/>
  <c r="M202" i="4"/>
  <c r="L202" i="4"/>
  <c r="K202" i="4"/>
  <c r="J202" i="4"/>
  <c r="I202" i="4"/>
  <c r="M201" i="4"/>
  <c r="L201" i="4"/>
  <c r="K201" i="4"/>
  <c r="J201" i="4"/>
  <c r="I201" i="4"/>
  <c r="M200" i="4"/>
  <c r="L200" i="4"/>
  <c r="K200" i="4"/>
  <c r="J200" i="4"/>
  <c r="I200" i="4"/>
  <c r="M199" i="4"/>
  <c r="L199" i="4"/>
  <c r="K199" i="4"/>
  <c r="J199" i="4"/>
  <c r="I199" i="4"/>
  <c r="M198" i="4"/>
  <c r="L198" i="4"/>
  <c r="K198" i="4"/>
  <c r="J198" i="4"/>
  <c r="I198" i="4"/>
  <c r="M197" i="4"/>
  <c r="L197" i="4"/>
  <c r="K197" i="4"/>
  <c r="J197" i="4"/>
  <c r="I197" i="4"/>
  <c r="M196" i="4"/>
  <c r="L196" i="4"/>
  <c r="K196" i="4"/>
  <c r="J196" i="4"/>
  <c r="I196" i="4"/>
  <c r="M195" i="4"/>
  <c r="L195" i="4"/>
  <c r="K195" i="4"/>
  <c r="J195" i="4"/>
  <c r="I195" i="4"/>
  <c r="M194" i="4"/>
  <c r="L194" i="4"/>
  <c r="K194" i="4"/>
  <c r="J194" i="4"/>
  <c r="I194" i="4"/>
  <c r="M193" i="4"/>
  <c r="L193" i="4"/>
  <c r="K193" i="4"/>
  <c r="J193" i="4"/>
  <c r="I193" i="4"/>
  <c r="M192" i="4"/>
  <c r="L192" i="4"/>
  <c r="K192" i="4"/>
  <c r="J192" i="4"/>
  <c r="I192" i="4"/>
  <c r="M191" i="4"/>
  <c r="L191" i="4"/>
  <c r="K191" i="4"/>
  <c r="J191" i="4"/>
  <c r="I191" i="4"/>
  <c r="M190" i="4"/>
  <c r="L190" i="4"/>
  <c r="K190" i="4"/>
  <c r="J190" i="4"/>
  <c r="I190" i="4"/>
  <c r="M189" i="4"/>
  <c r="L189" i="4"/>
  <c r="K189" i="4"/>
  <c r="J189" i="4"/>
  <c r="I189" i="4"/>
  <c r="M188" i="4"/>
  <c r="L188" i="4"/>
  <c r="K188" i="4"/>
  <c r="J188" i="4"/>
  <c r="I188" i="4"/>
  <c r="M187" i="4"/>
  <c r="L187" i="4"/>
  <c r="K187" i="4"/>
  <c r="J187" i="4"/>
  <c r="I187" i="4"/>
  <c r="M186" i="4"/>
  <c r="L186" i="4"/>
  <c r="K186" i="4"/>
  <c r="J186" i="4"/>
  <c r="I186" i="4"/>
  <c r="M185" i="4"/>
  <c r="L185" i="4"/>
  <c r="K185" i="4"/>
  <c r="J185" i="4"/>
  <c r="I185" i="4"/>
  <c r="M184" i="4"/>
  <c r="L184" i="4"/>
  <c r="K184" i="4"/>
  <c r="J184" i="4"/>
  <c r="I184" i="4"/>
  <c r="M183" i="4"/>
  <c r="L183" i="4"/>
  <c r="K183" i="4"/>
  <c r="J183" i="4"/>
  <c r="I183" i="4"/>
  <c r="M182" i="4"/>
  <c r="L182" i="4"/>
  <c r="K182" i="4"/>
  <c r="J182" i="4"/>
  <c r="I182" i="4"/>
  <c r="M181" i="4"/>
  <c r="L181" i="4"/>
  <c r="K181" i="4"/>
  <c r="J181" i="4"/>
  <c r="I181" i="4"/>
  <c r="M180" i="4"/>
  <c r="L180" i="4"/>
  <c r="K180" i="4"/>
  <c r="J180" i="4"/>
  <c r="I180" i="4"/>
  <c r="M179" i="4"/>
  <c r="L179" i="4"/>
  <c r="K179" i="4"/>
  <c r="J179" i="4"/>
  <c r="I179" i="4"/>
  <c r="M178" i="4"/>
  <c r="L178" i="4"/>
  <c r="K178" i="4"/>
  <c r="J178" i="4"/>
  <c r="I178" i="4"/>
  <c r="M177" i="4"/>
  <c r="L177" i="4"/>
  <c r="K177" i="4"/>
  <c r="J177" i="4"/>
  <c r="I177" i="4"/>
  <c r="M176" i="4"/>
  <c r="L176" i="4"/>
  <c r="K176" i="4"/>
  <c r="J176" i="4"/>
  <c r="I176" i="4"/>
  <c r="M175" i="4"/>
  <c r="L175" i="4"/>
  <c r="K175" i="4"/>
  <c r="J175" i="4"/>
  <c r="I175" i="4"/>
  <c r="M174" i="4"/>
  <c r="L174" i="4"/>
  <c r="K174" i="4"/>
  <c r="J174" i="4"/>
  <c r="I174" i="4"/>
  <c r="M173" i="4"/>
  <c r="L173" i="4"/>
  <c r="K173" i="4"/>
  <c r="J173" i="4"/>
  <c r="I173" i="4"/>
  <c r="M172" i="4"/>
  <c r="L172" i="4"/>
  <c r="K172" i="4"/>
  <c r="J172" i="4"/>
  <c r="I172" i="4"/>
  <c r="M171" i="4"/>
  <c r="L171" i="4"/>
  <c r="K171" i="4"/>
  <c r="J171" i="4"/>
  <c r="I171" i="4"/>
  <c r="M170" i="4"/>
  <c r="L170" i="4"/>
  <c r="K170" i="4"/>
  <c r="J170" i="4"/>
  <c r="I170" i="4"/>
  <c r="M169" i="4"/>
  <c r="L169" i="4"/>
  <c r="K169" i="4"/>
  <c r="J169" i="4"/>
  <c r="I169" i="4"/>
  <c r="M168" i="4"/>
  <c r="L168" i="4"/>
  <c r="K168" i="4"/>
  <c r="J168" i="4"/>
  <c r="I168" i="4"/>
  <c r="M167" i="4"/>
  <c r="L167" i="4"/>
  <c r="K167" i="4"/>
  <c r="J167" i="4"/>
  <c r="I167" i="4"/>
  <c r="M166" i="4"/>
  <c r="L166" i="4"/>
  <c r="K166" i="4"/>
  <c r="J166" i="4"/>
  <c r="I166" i="4"/>
  <c r="M165" i="4"/>
  <c r="L165" i="4"/>
  <c r="K165" i="4"/>
  <c r="J165" i="4"/>
  <c r="I165" i="4"/>
  <c r="M164" i="4"/>
  <c r="L164" i="4"/>
  <c r="K164" i="4"/>
  <c r="J164" i="4"/>
  <c r="I164" i="4"/>
  <c r="M163" i="4"/>
  <c r="L163" i="4"/>
  <c r="K163" i="4"/>
  <c r="J163" i="4"/>
  <c r="I163" i="4"/>
  <c r="M162" i="4"/>
  <c r="L162" i="4"/>
  <c r="K162" i="4"/>
  <c r="J162" i="4"/>
  <c r="I162" i="4"/>
  <c r="M161" i="4"/>
  <c r="L161" i="4"/>
  <c r="K161" i="4"/>
  <c r="J161" i="4"/>
  <c r="I161" i="4"/>
  <c r="M160" i="4"/>
  <c r="L160" i="4"/>
  <c r="K160" i="4"/>
  <c r="J160" i="4"/>
  <c r="I160" i="4"/>
  <c r="M159" i="4"/>
  <c r="L159" i="4"/>
  <c r="K159" i="4"/>
  <c r="J159" i="4"/>
  <c r="I159" i="4"/>
  <c r="M158" i="4"/>
  <c r="L158" i="4"/>
  <c r="K158" i="4"/>
  <c r="J158" i="4"/>
  <c r="I158" i="4"/>
  <c r="M157" i="4"/>
  <c r="L157" i="4"/>
  <c r="K157" i="4"/>
  <c r="J157" i="4"/>
  <c r="I157" i="4"/>
  <c r="M156" i="4"/>
  <c r="L156" i="4"/>
  <c r="K156" i="4"/>
  <c r="J156" i="4"/>
  <c r="I156" i="4"/>
  <c r="M155" i="4"/>
  <c r="L155" i="4"/>
  <c r="K155" i="4"/>
  <c r="J155" i="4"/>
  <c r="I155" i="4"/>
  <c r="M154" i="4"/>
  <c r="L154" i="4"/>
  <c r="K154" i="4"/>
  <c r="J154" i="4"/>
  <c r="I154" i="4"/>
  <c r="M153" i="4"/>
  <c r="L153" i="4"/>
  <c r="K153" i="4"/>
  <c r="J153" i="4"/>
  <c r="I153" i="4"/>
  <c r="M152" i="4"/>
  <c r="L152" i="4"/>
  <c r="K152" i="4"/>
  <c r="J152" i="4"/>
  <c r="I152" i="4"/>
  <c r="M151" i="4"/>
  <c r="L151" i="4"/>
  <c r="K151" i="4"/>
  <c r="J151" i="4"/>
  <c r="I151" i="4"/>
  <c r="M150" i="4"/>
  <c r="L150" i="4"/>
  <c r="K150" i="4"/>
  <c r="J150" i="4"/>
  <c r="I150" i="4"/>
  <c r="M149" i="4"/>
  <c r="L149" i="4"/>
  <c r="K149" i="4"/>
  <c r="J149" i="4"/>
  <c r="I149" i="4"/>
  <c r="M148" i="4"/>
  <c r="L148" i="4"/>
  <c r="K148" i="4"/>
  <c r="J148" i="4"/>
  <c r="I148" i="4"/>
  <c r="M147" i="4"/>
  <c r="L147" i="4"/>
  <c r="K147" i="4"/>
  <c r="J147" i="4"/>
  <c r="I147" i="4"/>
  <c r="M146" i="4"/>
  <c r="L146" i="4"/>
  <c r="K146" i="4"/>
  <c r="J146" i="4"/>
  <c r="I146" i="4"/>
  <c r="M145" i="4"/>
  <c r="L145" i="4"/>
  <c r="K145" i="4"/>
  <c r="J145" i="4"/>
  <c r="I145" i="4"/>
  <c r="M144" i="4"/>
  <c r="L144" i="4"/>
  <c r="K144" i="4"/>
  <c r="J144" i="4"/>
  <c r="I144" i="4"/>
  <c r="M143" i="4"/>
  <c r="L143" i="4"/>
  <c r="K143" i="4"/>
  <c r="J143" i="4"/>
  <c r="I143" i="4"/>
  <c r="M142" i="4"/>
  <c r="L142" i="4"/>
  <c r="K142" i="4"/>
  <c r="J142" i="4"/>
  <c r="I142" i="4"/>
  <c r="M141" i="4"/>
  <c r="L141" i="4"/>
  <c r="K141" i="4"/>
  <c r="J141" i="4"/>
  <c r="I141" i="4"/>
  <c r="M140" i="4"/>
  <c r="L140" i="4"/>
  <c r="K140" i="4"/>
  <c r="J140" i="4"/>
  <c r="I140" i="4"/>
  <c r="M139" i="4"/>
  <c r="L139" i="4"/>
  <c r="K139" i="4"/>
  <c r="J139" i="4"/>
  <c r="I139" i="4"/>
  <c r="M138" i="4"/>
  <c r="L138" i="4"/>
  <c r="K138" i="4"/>
  <c r="J138" i="4"/>
  <c r="I138" i="4"/>
  <c r="M137" i="4"/>
  <c r="L137" i="4"/>
  <c r="K137" i="4"/>
  <c r="J137" i="4"/>
  <c r="I137" i="4"/>
  <c r="M136" i="4"/>
  <c r="L136" i="4"/>
  <c r="K136" i="4"/>
  <c r="J136" i="4"/>
  <c r="I136" i="4"/>
  <c r="M135" i="4"/>
  <c r="L135" i="4"/>
  <c r="K135" i="4"/>
  <c r="J135" i="4"/>
  <c r="I135" i="4"/>
  <c r="M134" i="4"/>
  <c r="L134" i="4"/>
  <c r="K134" i="4"/>
  <c r="J134" i="4"/>
  <c r="I134" i="4"/>
  <c r="M133" i="4"/>
  <c r="L133" i="4"/>
  <c r="K133" i="4"/>
  <c r="J133" i="4"/>
  <c r="I133" i="4"/>
  <c r="M132" i="4"/>
  <c r="L132" i="4"/>
  <c r="K132" i="4"/>
  <c r="J132" i="4"/>
  <c r="I132" i="4"/>
  <c r="M131" i="4"/>
  <c r="L131" i="4"/>
  <c r="K131" i="4"/>
  <c r="J131" i="4"/>
  <c r="I131" i="4"/>
  <c r="M130" i="4"/>
  <c r="L130" i="4"/>
  <c r="K130" i="4"/>
  <c r="J130" i="4"/>
  <c r="I130" i="4"/>
  <c r="M129" i="4"/>
  <c r="L129" i="4"/>
  <c r="K129" i="4"/>
  <c r="J129" i="4"/>
  <c r="I129" i="4"/>
  <c r="M128" i="4"/>
  <c r="L128" i="4"/>
  <c r="K128" i="4"/>
  <c r="J128" i="4"/>
  <c r="I128" i="4"/>
  <c r="M127" i="4"/>
  <c r="L127" i="4"/>
  <c r="K127" i="4"/>
  <c r="J127" i="4"/>
  <c r="I127" i="4"/>
  <c r="M126" i="4"/>
  <c r="L126" i="4"/>
  <c r="K126" i="4"/>
  <c r="J126" i="4"/>
  <c r="I126" i="4"/>
  <c r="M125" i="4"/>
  <c r="L125" i="4"/>
  <c r="K125" i="4"/>
  <c r="J125" i="4"/>
  <c r="I125" i="4"/>
  <c r="M124" i="4"/>
  <c r="L124" i="4"/>
  <c r="K124" i="4"/>
  <c r="J124" i="4"/>
  <c r="I124" i="4"/>
  <c r="M123" i="4"/>
  <c r="L123" i="4"/>
  <c r="K123" i="4"/>
  <c r="J123" i="4"/>
  <c r="I123" i="4"/>
  <c r="M122" i="4"/>
  <c r="L122" i="4"/>
  <c r="K122" i="4"/>
  <c r="J122" i="4"/>
  <c r="I122" i="4"/>
  <c r="M121" i="4"/>
  <c r="L121" i="4"/>
  <c r="K121" i="4"/>
  <c r="J121" i="4"/>
  <c r="I121" i="4"/>
  <c r="M120" i="4"/>
  <c r="L120" i="4"/>
  <c r="K120" i="4"/>
  <c r="J120" i="4"/>
  <c r="I120" i="4"/>
  <c r="M119" i="4"/>
  <c r="L119" i="4"/>
  <c r="K119" i="4"/>
  <c r="J119" i="4"/>
  <c r="I119" i="4"/>
  <c r="M118" i="4"/>
  <c r="L118" i="4"/>
  <c r="K118" i="4"/>
  <c r="J118" i="4"/>
  <c r="I118" i="4"/>
  <c r="M117" i="4"/>
  <c r="L117" i="4"/>
  <c r="K117" i="4"/>
  <c r="J117" i="4"/>
  <c r="I117" i="4"/>
  <c r="M116" i="4"/>
  <c r="L116" i="4"/>
  <c r="K116" i="4"/>
  <c r="J116" i="4"/>
  <c r="I116" i="4"/>
  <c r="M115" i="4"/>
  <c r="L115" i="4"/>
  <c r="K115" i="4"/>
  <c r="J115" i="4"/>
  <c r="I115" i="4"/>
  <c r="M114" i="4"/>
  <c r="L114" i="4"/>
  <c r="K114" i="4"/>
  <c r="J114" i="4"/>
  <c r="I114" i="4"/>
  <c r="M113" i="4"/>
  <c r="L113" i="4"/>
  <c r="K113" i="4"/>
  <c r="J113" i="4"/>
  <c r="I113" i="4"/>
  <c r="M112" i="4"/>
  <c r="L112" i="4"/>
  <c r="K112" i="4"/>
  <c r="J112" i="4"/>
  <c r="I112" i="4"/>
  <c r="M111" i="4"/>
  <c r="L111" i="4"/>
  <c r="K111" i="4"/>
  <c r="J111" i="4"/>
  <c r="I111" i="4"/>
  <c r="M110" i="4"/>
  <c r="L110" i="4"/>
  <c r="K110" i="4"/>
  <c r="J110" i="4"/>
  <c r="I110" i="4"/>
  <c r="M109" i="4"/>
  <c r="L109" i="4"/>
  <c r="K109" i="4"/>
  <c r="J109" i="4"/>
  <c r="I109" i="4"/>
  <c r="M108" i="4"/>
  <c r="L108" i="4"/>
  <c r="K108" i="4"/>
  <c r="J108" i="4"/>
  <c r="I108" i="4"/>
  <c r="M107" i="4"/>
  <c r="L107" i="4"/>
  <c r="K107" i="4"/>
  <c r="J107" i="4"/>
  <c r="I107" i="4"/>
  <c r="M106" i="4"/>
  <c r="L106" i="4"/>
  <c r="K106" i="4"/>
  <c r="J106" i="4"/>
  <c r="I106" i="4"/>
  <c r="M105" i="4"/>
  <c r="L105" i="4"/>
  <c r="K105" i="4"/>
  <c r="J105" i="4"/>
  <c r="I105" i="4"/>
  <c r="M104" i="4"/>
  <c r="L104" i="4"/>
  <c r="K104" i="4"/>
  <c r="J104" i="4"/>
  <c r="I104" i="4"/>
  <c r="M103" i="4"/>
  <c r="L103" i="4"/>
  <c r="K103" i="4"/>
  <c r="J103" i="4"/>
  <c r="I103" i="4"/>
  <c r="M102" i="4"/>
  <c r="L102" i="4"/>
  <c r="K102" i="4"/>
  <c r="J102" i="4"/>
  <c r="I102" i="4"/>
  <c r="M101" i="4"/>
  <c r="L101" i="4"/>
  <c r="K101" i="4"/>
  <c r="J101" i="4"/>
  <c r="I101" i="4"/>
  <c r="M100" i="4"/>
  <c r="L100" i="4"/>
  <c r="K100" i="4"/>
  <c r="J100" i="4"/>
  <c r="I100" i="4"/>
  <c r="M99" i="4"/>
  <c r="L99" i="4"/>
  <c r="K99" i="4"/>
  <c r="J99" i="4"/>
  <c r="I99" i="4"/>
  <c r="M98" i="4"/>
  <c r="L98" i="4"/>
  <c r="K98" i="4"/>
  <c r="J98" i="4"/>
  <c r="I98" i="4"/>
  <c r="M97" i="4"/>
  <c r="L97" i="4"/>
  <c r="K97" i="4"/>
  <c r="J97" i="4"/>
  <c r="I97" i="4"/>
  <c r="M96" i="4"/>
  <c r="L96" i="4"/>
  <c r="K96" i="4"/>
  <c r="J96" i="4"/>
  <c r="I96" i="4"/>
  <c r="M95" i="4"/>
  <c r="L95" i="4"/>
  <c r="K95" i="4"/>
  <c r="J95" i="4"/>
  <c r="I95" i="4"/>
  <c r="M94" i="4"/>
  <c r="L94" i="4"/>
  <c r="K94" i="4"/>
  <c r="J94" i="4"/>
  <c r="I94" i="4"/>
  <c r="M93" i="4"/>
  <c r="L93" i="4"/>
  <c r="K93" i="4"/>
  <c r="J93" i="4"/>
  <c r="I93" i="4"/>
  <c r="M92" i="4"/>
  <c r="L92" i="4"/>
  <c r="K92" i="4"/>
  <c r="J92" i="4"/>
  <c r="I92" i="4"/>
  <c r="M91" i="4"/>
  <c r="L91" i="4"/>
  <c r="K91" i="4"/>
  <c r="J91" i="4"/>
  <c r="I91" i="4"/>
  <c r="M90" i="4"/>
  <c r="L90" i="4"/>
  <c r="K90" i="4"/>
  <c r="J90" i="4"/>
  <c r="I90" i="4"/>
  <c r="M89" i="4"/>
  <c r="L89" i="4"/>
  <c r="K89" i="4"/>
  <c r="J89" i="4"/>
  <c r="I89" i="4"/>
  <c r="M88" i="4"/>
  <c r="L88" i="4"/>
  <c r="K88" i="4"/>
  <c r="J88" i="4"/>
  <c r="I88" i="4"/>
  <c r="M87" i="4"/>
  <c r="L87" i="4"/>
  <c r="K87" i="4"/>
  <c r="J87" i="4"/>
  <c r="I87" i="4"/>
  <c r="M86" i="4"/>
  <c r="L86" i="4"/>
  <c r="K86" i="4"/>
  <c r="J86" i="4"/>
  <c r="I86" i="4"/>
  <c r="M85" i="4"/>
  <c r="L85" i="4"/>
  <c r="K85" i="4"/>
  <c r="J85" i="4"/>
  <c r="I85" i="4"/>
  <c r="M84" i="4"/>
  <c r="L84" i="4"/>
  <c r="K84" i="4"/>
  <c r="J84" i="4"/>
  <c r="I84" i="4"/>
  <c r="M83" i="4"/>
  <c r="L83" i="4"/>
  <c r="K83" i="4"/>
  <c r="J83" i="4"/>
  <c r="I83" i="4"/>
  <c r="M82" i="4"/>
  <c r="L82" i="4"/>
  <c r="K82" i="4"/>
  <c r="J82" i="4"/>
  <c r="I82" i="4"/>
  <c r="M81" i="4"/>
  <c r="L81" i="4"/>
  <c r="K81" i="4"/>
  <c r="J81" i="4"/>
  <c r="I81" i="4"/>
  <c r="M80" i="4"/>
  <c r="L80" i="4"/>
  <c r="K80" i="4"/>
  <c r="J80" i="4"/>
  <c r="I80" i="4"/>
  <c r="M79" i="4"/>
  <c r="L79" i="4"/>
  <c r="K79" i="4"/>
  <c r="J79" i="4"/>
  <c r="I79" i="4"/>
  <c r="M78" i="4"/>
  <c r="L78" i="4"/>
  <c r="K78" i="4"/>
  <c r="J78" i="4"/>
  <c r="I78" i="4"/>
  <c r="M77" i="4"/>
  <c r="L77" i="4"/>
  <c r="K77" i="4"/>
  <c r="J77" i="4"/>
  <c r="I77" i="4"/>
  <c r="M76" i="4"/>
  <c r="L76" i="4"/>
  <c r="K76" i="4"/>
  <c r="J76" i="4"/>
  <c r="I76" i="4"/>
  <c r="M75" i="4"/>
  <c r="L75" i="4"/>
  <c r="K75" i="4"/>
  <c r="J75" i="4"/>
  <c r="I75" i="4"/>
  <c r="M74" i="4"/>
  <c r="L74" i="4"/>
  <c r="K74" i="4"/>
  <c r="J74" i="4"/>
  <c r="I74" i="4"/>
  <c r="M73" i="4"/>
  <c r="L73" i="4"/>
  <c r="K73" i="4"/>
  <c r="J73" i="4"/>
  <c r="I73" i="4"/>
  <c r="M72" i="4"/>
  <c r="L72" i="4"/>
  <c r="K72" i="4"/>
  <c r="J72" i="4"/>
  <c r="I72" i="4"/>
  <c r="M71" i="4"/>
  <c r="L71" i="4"/>
  <c r="K71" i="4"/>
  <c r="J71" i="4"/>
  <c r="I71" i="4"/>
  <c r="M70" i="4"/>
  <c r="L70" i="4"/>
  <c r="K70" i="4"/>
  <c r="J70" i="4"/>
  <c r="I70" i="4"/>
  <c r="M69" i="4"/>
  <c r="L69" i="4"/>
  <c r="K69" i="4"/>
  <c r="J69" i="4"/>
  <c r="I69" i="4"/>
  <c r="M68" i="4"/>
  <c r="L68" i="4"/>
  <c r="K68" i="4"/>
  <c r="J68" i="4"/>
  <c r="I68" i="4"/>
  <c r="M67" i="4"/>
  <c r="L67" i="4"/>
  <c r="K67" i="4"/>
  <c r="J67" i="4"/>
  <c r="I67" i="4"/>
  <c r="M66" i="4"/>
  <c r="L66" i="4"/>
  <c r="K66" i="4"/>
  <c r="J66" i="4"/>
  <c r="I66" i="4"/>
  <c r="M65" i="4"/>
  <c r="L65" i="4"/>
  <c r="K65" i="4"/>
  <c r="J65" i="4"/>
  <c r="I65" i="4"/>
  <c r="M64" i="4"/>
  <c r="L64" i="4"/>
  <c r="K64" i="4"/>
  <c r="J64" i="4"/>
  <c r="I64" i="4"/>
  <c r="M63" i="4"/>
  <c r="L63" i="4"/>
  <c r="K63" i="4"/>
  <c r="J63" i="4"/>
  <c r="I63" i="4"/>
  <c r="M62" i="4"/>
  <c r="L62" i="4"/>
  <c r="K62" i="4"/>
  <c r="J62" i="4"/>
  <c r="I62" i="4"/>
  <c r="M61" i="4"/>
  <c r="L61" i="4"/>
  <c r="K61" i="4"/>
  <c r="J61" i="4"/>
  <c r="I61" i="4"/>
  <c r="M60" i="4"/>
  <c r="L60" i="4"/>
  <c r="K60" i="4"/>
  <c r="J60" i="4"/>
  <c r="I60" i="4"/>
  <c r="M59" i="4"/>
  <c r="L59" i="4"/>
  <c r="K59" i="4"/>
  <c r="J59" i="4"/>
  <c r="I59" i="4"/>
  <c r="M58" i="4"/>
  <c r="L58" i="4"/>
  <c r="K58" i="4"/>
  <c r="J58" i="4"/>
  <c r="I58" i="4"/>
  <c r="M57" i="4"/>
  <c r="L57" i="4"/>
  <c r="K57" i="4"/>
  <c r="J57" i="4"/>
  <c r="I57" i="4"/>
  <c r="M56" i="4"/>
  <c r="L56" i="4"/>
  <c r="K56" i="4"/>
  <c r="J56" i="4"/>
  <c r="I56" i="4"/>
  <c r="M55" i="4"/>
  <c r="L55" i="4"/>
  <c r="K55" i="4"/>
  <c r="J55" i="4"/>
  <c r="I55" i="4"/>
  <c r="M54" i="4"/>
  <c r="L54" i="4"/>
  <c r="K54" i="4"/>
  <c r="J54" i="4"/>
  <c r="I54" i="4"/>
  <c r="M53" i="4"/>
  <c r="L53" i="4"/>
  <c r="K53" i="4"/>
  <c r="J53" i="4"/>
  <c r="I53" i="4"/>
  <c r="M52" i="4"/>
  <c r="L52" i="4"/>
  <c r="K52" i="4"/>
  <c r="J52" i="4"/>
  <c r="I52" i="4"/>
  <c r="M51" i="4"/>
  <c r="L51" i="4"/>
  <c r="K51" i="4"/>
  <c r="J51" i="4"/>
  <c r="I51" i="4"/>
  <c r="M50" i="4"/>
  <c r="L50" i="4"/>
  <c r="K50" i="4"/>
  <c r="J50" i="4"/>
  <c r="I50" i="4"/>
  <c r="M49" i="4"/>
  <c r="L49" i="4"/>
  <c r="K49" i="4"/>
  <c r="J49" i="4"/>
  <c r="I49" i="4"/>
  <c r="M48" i="4"/>
  <c r="L48" i="4"/>
  <c r="K48" i="4"/>
  <c r="J48" i="4"/>
  <c r="I48" i="4"/>
  <c r="M47" i="4"/>
  <c r="L47" i="4"/>
  <c r="K47" i="4"/>
  <c r="J47" i="4"/>
  <c r="I47" i="4"/>
  <c r="M46" i="4"/>
  <c r="L46" i="4"/>
  <c r="K46" i="4"/>
  <c r="J46" i="4"/>
  <c r="I46" i="4"/>
  <c r="M45" i="4"/>
  <c r="L45" i="4"/>
  <c r="K45" i="4"/>
  <c r="J45" i="4"/>
  <c r="I45" i="4"/>
  <c r="M44" i="4"/>
  <c r="L44" i="4"/>
  <c r="K44" i="4"/>
  <c r="J44" i="4"/>
  <c r="I44" i="4"/>
  <c r="M43" i="4"/>
  <c r="L43" i="4"/>
  <c r="K43" i="4"/>
  <c r="J43" i="4"/>
  <c r="I43" i="4"/>
  <c r="M42" i="4"/>
  <c r="L42" i="4"/>
  <c r="K42" i="4"/>
  <c r="J42" i="4"/>
  <c r="I42" i="4"/>
  <c r="M41" i="4"/>
  <c r="L41" i="4"/>
  <c r="K41" i="4"/>
  <c r="J41" i="4"/>
  <c r="I41" i="4"/>
  <c r="M40" i="4"/>
  <c r="L40" i="4"/>
  <c r="K40" i="4"/>
  <c r="J40" i="4"/>
  <c r="I40" i="4"/>
  <c r="M39" i="4"/>
  <c r="L39" i="4"/>
  <c r="K39" i="4"/>
  <c r="J39" i="4"/>
  <c r="I39" i="4"/>
  <c r="M38" i="4"/>
  <c r="L38" i="4"/>
  <c r="K38" i="4"/>
  <c r="J38" i="4"/>
  <c r="I38" i="4"/>
  <c r="M37" i="4"/>
  <c r="L37" i="4"/>
  <c r="K37" i="4"/>
  <c r="J37" i="4"/>
  <c r="I37" i="4"/>
  <c r="M36" i="4"/>
  <c r="L36" i="4"/>
  <c r="K36" i="4"/>
  <c r="J36" i="4"/>
  <c r="I36" i="4"/>
  <c r="M35" i="4"/>
  <c r="L35" i="4"/>
  <c r="K35" i="4"/>
  <c r="J35" i="4"/>
  <c r="I35" i="4"/>
  <c r="M34" i="4"/>
  <c r="L34" i="4"/>
  <c r="K34" i="4"/>
  <c r="J34" i="4"/>
  <c r="I34" i="4"/>
  <c r="M33" i="4"/>
  <c r="L33" i="4"/>
  <c r="K33" i="4"/>
  <c r="J33" i="4"/>
  <c r="I33" i="4"/>
  <c r="M32" i="4"/>
  <c r="L32" i="4"/>
  <c r="K32" i="4"/>
  <c r="J32" i="4"/>
  <c r="I32" i="4"/>
  <c r="M31" i="4"/>
  <c r="L31" i="4"/>
  <c r="K31" i="4"/>
  <c r="J31" i="4"/>
  <c r="I31" i="4"/>
  <c r="M30" i="4"/>
  <c r="L30" i="4"/>
  <c r="K30" i="4"/>
  <c r="J30" i="4"/>
  <c r="I30" i="4"/>
  <c r="M29" i="4"/>
  <c r="L29" i="4"/>
  <c r="K29" i="4"/>
  <c r="J29" i="4"/>
  <c r="I29" i="4"/>
  <c r="M28" i="4"/>
  <c r="L28" i="4"/>
  <c r="K28" i="4"/>
  <c r="J28" i="4"/>
  <c r="I28" i="4"/>
  <c r="M27" i="4"/>
  <c r="L27" i="4"/>
  <c r="K27" i="4"/>
  <c r="J27" i="4"/>
  <c r="I27" i="4"/>
  <c r="M26" i="4"/>
  <c r="L26" i="4"/>
  <c r="K26" i="4"/>
  <c r="J26" i="4"/>
  <c r="I26" i="4"/>
  <c r="M25" i="4"/>
  <c r="L25" i="4"/>
  <c r="K25" i="4"/>
  <c r="J25" i="4"/>
  <c r="I25" i="4"/>
  <c r="M24" i="4"/>
  <c r="L24" i="4"/>
  <c r="K24" i="4"/>
  <c r="J24" i="4"/>
  <c r="I24" i="4"/>
  <c r="M23" i="4"/>
  <c r="L23" i="4"/>
  <c r="K23" i="4"/>
  <c r="J23" i="4"/>
  <c r="I23" i="4"/>
  <c r="M22" i="4"/>
  <c r="L22" i="4"/>
  <c r="K22" i="4"/>
  <c r="J22" i="4"/>
  <c r="I22" i="4"/>
  <c r="M21" i="4"/>
  <c r="L21" i="4"/>
  <c r="K21" i="4"/>
  <c r="J21" i="4"/>
  <c r="I21" i="4"/>
  <c r="M20" i="4"/>
  <c r="L20" i="4"/>
  <c r="K20" i="4"/>
  <c r="J20" i="4"/>
  <c r="I20" i="4"/>
  <c r="M19" i="4"/>
  <c r="L19" i="4"/>
  <c r="K19" i="4"/>
  <c r="J19" i="4"/>
  <c r="I19" i="4"/>
  <c r="M18" i="4"/>
  <c r="L18" i="4"/>
  <c r="K18" i="4"/>
  <c r="J18" i="4"/>
  <c r="I18" i="4"/>
  <c r="M17" i="4"/>
  <c r="L17" i="4"/>
  <c r="K17" i="4"/>
  <c r="J17" i="4"/>
  <c r="I17" i="4"/>
  <c r="M16" i="4"/>
  <c r="L16" i="4"/>
  <c r="K16" i="4"/>
  <c r="J16" i="4"/>
  <c r="I16" i="4"/>
  <c r="M15" i="4"/>
  <c r="L15" i="4"/>
  <c r="K15" i="4"/>
  <c r="J15" i="4"/>
  <c r="I15" i="4"/>
  <c r="M14" i="4"/>
  <c r="L14" i="4"/>
  <c r="K14" i="4"/>
  <c r="J14" i="4"/>
  <c r="I14" i="4"/>
  <c r="M13" i="4"/>
  <c r="L13" i="4"/>
  <c r="K13" i="4"/>
  <c r="J13" i="4"/>
  <c r="I13" i="4"/>
  <c r="M12" i="4"/>
  <c r="L12" i="4"/>
  <c r="K12" i="4"/>
  <c r="J12" i="4"/>
  <c r="I12" i="4"/>
  <c r="M11" i="4"/>
  <c r="L11" i="4"/>
  <c r="K11" i="4"/>
  <c r="J11" i="4"/>
  <c r="I11" i="4"/>
  <c r="M10" i="4"/>
  <c r="L10" i="4"/>
  <c r="K10" i="4"/>
  <c r="J10" i="4"/>
  <c r="I10" i="4"/>
  <c r="M9" i="4"/>
  <c r="L9" i="4"/>
  <c r="K9" i="4"/>
  <c r="J9" i="4"/>
  <c r="I9" i="4"/>
  <c r="M8" i="4"/>
  <c r="L8" i="4"/>
  <c r="K8" i="4"/>
  <c r="J8" i="4"/>
  <c r="I8" i="4"/>
  <c r="M7" i="4"/>
  <c r="L7" i="4"/>
  <c r="K7" i="4"/>
  <c r="J7" i="4"/>
  <c r="I7" i="4"/>
  <c r="M6" i="4"/>
  <c r="L6" i="4"/>
  <c r="K6" i="4"/>
  <c r="J6" i="4"/>
  <c r="I6" i="4"/>
  <c r="M5" i="4"/>
  <c r="L5" i="4"/>
  <c r="K5" i="4"/>
  <c r="J5" i="4"/>
  <c r="I5" i="4"/>
  <c r="M4" i="4"/>
  <c r="L4" i="4"/>
  <c r="K4" i="4"/>
  <c r="J4" i="4"/>
  <c r="I4" i="4"/>
  <c r="M3" i="4"/>
  <c r="L3" i="4"/>
  <c r="K3" i="4"/>
  <c r="J3" i="4"/>
  <c r="I3" i="4"/>
  <c r="M2" i="4"/>
  <c r="L2" i="4"/>
  <c r="K2" i="4"/>
  <c r="J2" i="4"/>
  <c r="I2" i="4"/>
  <c r="M1" i="4"/>
  <c r="L1" i="4"/>
  <c r="K1" i="4"/>
  <c r="J1" i="4"/>
  <c r="I1" i="4"/>
  <c r="Q352" i="3"/>
  <c r="P352" i="3"/>
  <c r="O352" i="3"/>
  <c r="N352" i="3"/>
  <c r="M352" i="3"/>
  <c r="L352" i="3"/>
  <c r="K352" i="3"/>
  <c r="J352" i="3" s="1"/>
  <c r="Q351" i="3"/>
  <c r="P351" i="3"/>
  <c r="O351" i="3"/>
  <c r="N351" i="3"/>
  <c r="M351" i="3"/>
  <c r="L351" i="3"/>
  <c r="K351" i="3"/>
  <c r="Q350" i="3"/>
  <c r="P350" i="3"/>
  <c r="O350" i="3"/>
  <c r="N350" i="3"/>
  <c r="M350" i="3"/>
  <c r="L350" i="3"/>
  <c r="K350" i="3"/>
  <c r="J350" i="3" s="1"/>
  <c r="Q349" i="3"/>
  <c r="P349" i="3"/>
  <c r="O349" i="3"/>
  <c r="N349" i="3"/>
  <c r="M349" i="3"/>
  <c r="L349" i="3"/>
  <c r="K349" i="3"/>
  <c r="I349" i="3" s="1"/>
  <c r="Q348" i="3"/>
  <c r="P348" i="3"/>
  <c r="O348" i="3"/>
  <c r="N348" i="3"/>
  <c r="M348" i="3"/>
  <c r="L348" i="3"/>
  <c r="K348" i="3"/>
  <c r="Q347" i="3"/>
  <c r="P347" i="3"/>
  <c r="O347" i="3"/>
  <c r="N347" i="3"/>
  <c r="M347" i="3"/>
  <c r="L347" i="3"/>
  <c r="K347" i="3"/>
  <c r="Q346" i="3"/>
  <c r="P346" i="3"/>
  <c r="O346" i="3"/>
  <c r="N346" i="3"/>
  <c r="M346" i="3"/>
  <c r="L346" i="3"/>
  <c r="K346" i="3"/>
  <c r="J346" i="3" s="1"/>
  <c r="Q345" i="3"/>
  <c r="P345" i="3"/>
  <c r="O345" i="3"/>
  <c r="N345" i="3"/>
  <c r="M345" i="3"/>
  <c r="L345" i="3"/>
  <c r="K345" i="3"/>
  <c r="I345" i="3" s="1"/>
  <c r="Q344" i="3"/>
  <c r="P344" i="3"/>
  <c r="O344" i="3"/>
  <c r="N344" i="3"/>
  <c r="M344" i="3"/>
  <c r="L344" i="3"/>
  <c r="K344" i="3"/>
  <c r="J344" i="3" s="1"/>
  <c r="Q343" i="3"/>
  <c r="P343" i="3"/>
  <c r="O343" i="3"/>
  <c r="N343" i="3"/>
  <c r="M343" i="3"/>
  <c r="L343" i="3"/>
  <c r="K343" i="3"/>
  <c r="J343" i="3" s="1"/>
  <c r="Q342" i="3"/>
  <c r="P342" i="3"/>
  <c r="O342" i="3"/>
  <c r="N342" i="3"/>
  <c r="M342" i="3"/>
  <c r="L342" i="3"/>
  <c r="K342" i="3"/>
  <c r="J342" i="3" s="1"/>
  <c r="Q341" i="3"/>
  <c r="P341" i="3"/>
  <c r="O341" i="3"/>
  <c r="N341" i="3"/>
  <c r="M341" i="3"/>
  <c r="L341" i="3"/>
  <c r="K341" i="3"/>
  <c r="I341" i="3" s="1"/>
  <c r="Q340" i="3"/>
  <c r="P340" i="3"/>
  <c r="O340" i="3"/>
  <c r="N340" i="3"/>
  <c r="M340" i="3"/>
  <c r="L340" i="3"/>
  <c r="K340" i="3"/>
  <c r="J340" i="3" s="1"/>
  <c r="Q339" i="3"/>
  <c r="P339" i="3"/>
  <c r="O339" i="3"/>
  <c r="N339" i="3"/>
  <c r="M339" i="3"/>
  <c r="L339" i="3"/>
  <c r="K339" i="3"/>
  <c r="Q338" i="3"/>
  <c r="P338" i="3"/>
  <c r="O338" i="3"/>
  <c r="N338" i="3"/>
  <c r="M338" i="3"/>
  <c r="L338" i="3"/>
  <c r="K338" i="3"/>
  <c r="J338" i="3" s="1"/>
  <c r="Q337" i="3"/>
  <c r="P337" i="3"/>
  <c r="O337" i="3"/>
  <c r="N337" i="3"/>
  <c r="M337" i="3"/>
  <c r="L337" i="3"/>
  <c r="K337" i="3"/>
  <c r="I337" i="3" s="1"/>
  <c r="Q336" i="3"/>
  <c r="P336" i="3"/>
  <c r="O336" i="3"/>
  <c r="N336" i="3"/>
  <c r="M336" i="3"/>
  <c r="L336" i="3"/>
  <c r="K336" i="3"/>
  <c r="J336" i="3" s="1"/>
  <c r="Q335" i="3"/>
  <c r="P335" i="3"/>
  <c r="O335" i="3"/>
  <c r="N335" i="3"/>
  <c r="M335" i="3"/>
  <c r="L335" i="3"/>
  <c r="K335" i="3"/>
  <c r="J335" i="3" s="1"/>
  <c r="Q334" i="3"/>
  <c r="P334" i="3"/>
  <c r="O334" i="3"/>
  <c r="N334" i="3"/>
  <c r="M334" i="3"/>
  <c r="L334" i="3"/>
  <c r="K334" i="3"/>
  <c r="I334" i="3" s="1"/>
  <c r="Q333" i="3"/>
  <c r="P333" i="3"/>
  <c r="O333" i="3"/>
  <c r="N333" i="3"/>
  <c r="M333" i="3"/>
  <c r="L333" i="3"/>
  <c r="K333" i="3"/>
  <c r="I333" i="3" s="1"/>
  <c r="Q332" i="3"/>
  <c r="P332" i="3"/>
  <c r="O332" i="3"/>
  <c r="N332" i="3"/>
  <c r="M332" i="3"/>
  <c r="L332" i="3"/>
  <c r="K332" i="3"/>
  <c r="J332" i="3" s="1"/>
  <c r="Q331" i="3"/>
  <c r="P331" i="3"/>
  <c r="O331" i="3"/>
  <c r="N331" i="3"/>
  <c r="M331" i="3"/>
  <c r="L331" i="3"/>
  <c r="K331" i="3"/>
  <c r="J331" i="3" s="1"/>
  <c r="Q330" i="3"/>
  <c r="P330" i="3"/>
  <c r="O330" i="3"/>
  <c r="N330" i="3"/>
  <c r="M330" i="3"/>
  <c r="L330" i="3"/>
  <c r="K330" i="3"/>
  <c r="J330" i="3" s="1"/>
  <c r="Q329" i="3"/>
  <c r="P329" i="3"/>
  <c r="O329" i="3"/>
  <c r="N329" i="3"/>
  <c r="M329" i="3"/>
  <c r="L329" i="3"/>
  <c r="K329" i="3"/>
  <c r="I329" i="3" s="1"/>
  <c r="Q328" i="3"/>
  <c r="P328" i="3"/>
  <c r="O328" i="3"/>
  <c r="N328" i="3"/>
  <c r="M328" i="3"/>
  <c r="L328" i="3"/>
  <c r="K328" i="3"/>
  <c r="J328" i="3" s="1"/>
  <c r="Q327" i="3"/>
  <c r="P327" i="3"/>
  <c r="O327" i="3"/>
  <c r="N327" i="3"/>
  <c r="M327" i="3"/>
  <c r="L327" i="3"/>
  <c r="K327" i="3"/>
  <c r="J327" i="3" s="1"/>
  <c r="Q326" i="3"/>
  <c r="P326" i="3"/>
  <c r="O326" i="3"/>
  <c r="N326" i="3"/>
  <c r="M326" i="3"/>
  <c r="L326" i="3"/>
  <c r="K326" i="3"/>
  <c r="J326" i="3" s="1"/>
  <c r="Q325" i="3"/>
  <c r="P325" i="3"/>
  <c r="O325" i="3"/>
  <c r="N325" i="3"/>
  <c r="M325" i="3"/>
  <c r="L325" i="3"/>
  <c r="K325" i="3"/>
  <c r="I325" i="3" s="1"/>
  <c r="Q324" i="3"/>
  <c r="P324" i="3"/>
  <c r="O324" i="3"/>
  <c r="N324" i="3"/>
  <c r="M324" i="3"/>
  <c r="L324" i="3"/>
  <c r="K324" i="3"/>
  <c r="J324" i="3" s="1"/>
  <c r="Q323" i="3"/>
  <c r="P323" i="3"/>
  <c r="O323" i="3"/>
  <c r="N323" i="3"/>
  <c r="M323" i="3"/>
  <c r="L323" i="3"/>
  <c r="K323" i="3"/>
  <c r="I323" i="3" s="1"/>
  <c r="Q322" i="3"/>
  <c r="P322" i="3"/>
  <c r="O322" i="3"/>
  <c r="N322" i="3"/>
  <c r="M322" i="3"/>
  <c r="L322" i="3"/>
  <c r="K322" i="3"/>
  <c r="J322" i="3" s="1"/>
  <c r="Q321" i="3"/>
  <c r="P321" i="3"/>
  <c r="O321" i="3"/>
  <c r="N321" i="3"/>
  <c r="M321" i="3"/>
  <c r="L321" i="3"/>
  <c r="K321" i="3"/>
  <c r="I321" i="3" s="1"/>
  <c r="Q320" i="3"/>
  <c r="P320" i="3"/>
  <c r="O320" i="3"/>
  <c r="N320" i="3"/>
  <c r="M320" i="3"/>
  <c r="L320" i="3"/>
  <c r="K320" i="3"/>
  <c r="J320" i="3" s="1"/>
  <c r="Q319" i="3"/>
  <c r="P319" i="3"/>
  <c r="O319" i="3"/>
  <c r="N319" i="3"/>
  <c r="M319" i="3"/>
  <c r="L319" i="3"/>
  <c r="K319" i="3"/>
  <c r="J319" i="3" s="1"/>
  <c r="Q318" i="3"/>
  <c r="P318" i="3"/>
  <c r="O318" i="3"/>
  <c r="N318" i="3"/>
  <c r="M318" i="3"/>
  <c r="L318" i="3"/>
  <c r="K318" i="3"/>
  <c r="J318" i="3" s="1"/>
  <c r="Q317" i="3"/>
  <c r="P317" i="3"/>
  <c r="O317" i="3"/>
  <c r="N317" i="3"/>
  <c r="M317" i="3"/>
  <c r="L317" i="3"/>
  <c r="K317" i="3"/>
  <c r="I317" i="3" s="1"/>
  <c r="Q316" i="3"/>
  <c r="P316" i="3"/>
  <c r="O316" i="3"/>
  <c r="N316" i="3"/>
  <c r="M316" i="3"/>
  <c r="L316" i="3"/>
  <c r="K316" i="3"/>
  <c r="J316" i="3" s="1"/>
  <c r="Q315" i="3"/>
  <c r="P315" i="3"/>
  <c r="O315" i="3"/>
  <c r="N315" i="3"/>
  <c r="M315" i="3"/>
  <c r="L315" i="3"/>
  <c r="K315" i="3"/>
  <c r="J315" i="3" s="1"/>
  <c r="Q314" i="3"/>
  <c r="P314" i="3"/>
  <c r="O314" i="3"/>
  <c r="N314" i="3"/>
  <c r="M314" i="3"/>
  <c r="L314" i="3"/>
  <c r="K314" i="3"/>
  <c r="J314" i="3" s="1"/>
  <c r="Q313" i="3"/>
  <c r="P313" i="3"/>
  <c r="O313" i="3"/>
  <c r="N313" i="3"/>
  <c r="M313" i="3"/>
  <c r="L313" i="3"/>
  <c r="K313" i="3"/>
  <c r="Q312" i="3"/>
  <c r="P312" i="3"/>
  <c r="O312" i="3"/>
  <c r="N312" i="3"/>
  <c r="M312" i="3"/>
  <c r="L312" i="3"/>
  <c r="K312" i="3"/>
  <c r="J312" i="3" s="1"/>
  <c r="Q311" i="3"/>
  <c r="P311" i="3"/>
  <c r="O311" i="3"/>
  <c r="N311" i="3"/>
  <c r="M311" i="3"/>
  <c r="L311" i="3"/>
  <c r="K311" i="3"/>
  <c r="Q310" i="3"/>
  <c r="P310" i="3"/>
  <c r="O310" i="3"/>
  <c r="N310" i="3"/>
  <c r="M310" i="3"/>
  <c r="L310" i="3"/>
  <c r="K310" i="3"/>
  <c r="J310" i="3" s="1"/>
  <c r="Q309" i="3"/>
  <c r="P309" i="3"/>
  <c r="O309" i="3"/>
  <c r="N309" i="3"/>
  <c r="M309" i="3"/>
  <c r="L309" i="3"/>
  <c r="K309" i="3"/>
  <c r="I309" i="3" s="1"/>
  <c r="Q308" i="3"/>
  <c r="P308" i="3"/>
  <c r="O308" i="3"/>
  <c r="N308" i="3"/>
  <c r="M308" i="3"/>
  <c r="L308" i="3"/>
  <c r="K308" i="3"/>
  <c r="J308" i="3" s="1"/>
  <c r="Q307" i="3"/>
  <c r="P307" i="3"/>
  <c r="O307" i="3"/>
  <c r="N307" i="3"/>
  <c r="M307" i="3"/>
  <c r="L307" i="3"/>
  <c r="K307" i="3"/>
  <c r="J307" i="3" s="1"/>
  <c r="Q306" i="3"/>
  <c r="P306" i="3"/>
  <c r="O306" i="3"/>
  <c r="N306" i="3"/>
  <c r="M306" i="3"/>
  <c r="L306" i="3"/>
  <c r="K306" i="3"/>
  <c r="J306" i="3" s="1"/>
  <c r="Q305" i="3"/>
  <c r="P305" i="3"/>
  <c r="O305" i="3"/>
  <c r="N305" i="3"/>
  <c r="M305" i="3"/>
  <c r="L305" i="3"/>
  <c r="K305" i="3"/>
  <c r="Q304" i="3"/>
  <c r="P304" i="3"/>
  <c r="O304" i="3"/>
  <c r="N304" i="3"/>
  <c r="M304" i="3"/>
  <c r="L304" i="3"/>
  <c r="K304" i="3"/>
  <c r="J304" i="3" s="1"/>
  <c r="Q303" i="3"/>
  <c r="P303" i="3"/>
  <c r="O303" i="3"/>
  <c r="N303" i="3"/>
  <c r="M303" i="3"/>
  <c r="L303" i="3"/>
  <c r="K303" i="3"/>
  <c r="J303" i="3" s="1"/>
  <c r="Q302" i="3"/>
  <c r="P302" i="3"/>
  <c r="O302" i="3"/>
  <c r="N302" i="3"/>
  <c r="M302" i="3"/>
  <c r="L302" i="3"/>
  <c r="K302" i="3"/>
  <c r="J302" i="3" s="1"/>
  <c r="Q301" i="3"/>
  <c r="P301" i="3"/>
  <c r="O301" i="3"/>
  <c r="N301" i="3"/>
  <c r="M301" i="3"/>
  <c r="L301" i="3"/>
  <c r="K301" i="3"/>
  <c r="I301" i="3" s="1"/>
  <c r="Q300" i="3"/>
  <c r="P300" i="3"/>
  <c r="O300" i="3"/>
  <c r="N300" i="3"/>
  <c r="M300" i="3"/>
  <c r="L300" i="3"/>
  <c r="K300" i="3"/>
  <c r="J300" i="3" s="1"/>
  <c r="Q299" i="3"/>
  <c r="P299" i="3"/>
  <c r="O299" i="3"/>
  <c r="N299" i="3"/>
  <c r="M299" i="3"/>
  <c r="L299" i="3"/>
  <c r="K299" i="3"/>
  <c r="J299" i="3" s="1"/>
  <c r="Q298" i="3"/>
  <c r="P298" i="3"/>
  <c r="O298" i="3"/>
  <c r="N298" i="3"/>
  <c r="M298" i="3"/>
  <c r="L298" i="3"/>
  <c r="K298" i="3"/>
  <c r="J298" i="3" s="1"/>
  <c r="Q297" i="3"/>
  <c r="P297" i="3"/>
  <c r="O297" i="3"/>
  <c r="N297" i="3"/>
  <c r="M297" i="3"/>
  <c r="L297" i="3"/>
  <c r="K297" i="3"/>
  <c r="I297" i="3" s="1"/>
  <c r="Q296" i="3"/>
  <c r="P296" i="3"/>
  <c r="O296" i="3"/>
  <c r="N296" i="3"/>
  <c r="M296" i="3"/>
  <c r="L296" i="3"/>
  <c r="K296" i="3"/>
  <c r="J296" i="3" s="1"/>
  <c r="Q295" i="3"/>
  <c r="P295" i="3"/>
  <c r="O295" i="3"/>
  <c r="N295" i="3"/>
  <c r="M295" i="3"/>
  <c r="L295" i="3"/>
  <c r="K295" i="3"/>
  <c r="I295" i="3" s="1"/>
  <c r="Q294" i="3"/>
  <c r="P294" i="3"/>
  <c r="O294" i="3"/>
  <c r="N294" i="3"/>
  <c r="M294" i="3"/>
  <c r="L294" i="3"/>
  <c r="K294" i="3"/>
  <c r="J294" i="3" s="1"/>
  <c r="Q293" i="3"/>
  <c r="P293" i="3"/>
  <c r="O293" i="3"/>
  <c r="N293" i="3"/>
  <c r="M293" i="3"/>
  <c r="L293" i="3"/>
  <c r="K293" i="3"/>
  <c r="I293" i="3" s="1"/>
  <c r="Q292" i="3"/>
  <c r="P292" i="3"/>
  <c r="O292" i="3"/>
  <c r="N292" i="3"/>
  <c r="M292" i="3"/>
  <c r="L292" i="3"/>
  <c r="K292" i="3"/>
  <c r="J292" i="3" s="1"/>
  <c r="Q291" i="3"/>
  <c r="P291" i="3"/>
  <c r="O291" i="3"/>
  <c r="N291" i="3"/>
  <c r="M291" i="3"/>
  <c r="L291" i="3"/>
  <c r="K291" i="3"/>
  <c r="J291" i="3" s="1"/>
  <c r="Q290" i="3"/>
  <c r="P290" i="3"/>
  <c r="O290" i="3"/>
  <c r="N290" i="3"/>
  <c r="M290" i="3"/>
  <c r="L290" i="3"/>
  <c r="K290" i="3"/>
  <c r="I290" i="3" s="1"/>
  <c r="Q289" i="3"/>
  <c r="P289" i="3"/>
  <c r="O289" i="3"/>
  <c r="N289" i="3"/>
  <c r="M289" i="3"/>
  <c r="L289" i="3"/>
  <c r="K289" i="3"/>
  <c r="I289" i="3" s="1"/>
  <c r="Q288" i="3"/>
  <c r="P288" i="3"/>
  <c r="O288" i="3"/>
  <c r="N288" i="3"/>
  <c r="M288" i="3"/>
  <c r="L288" i="3"/>
  <c r="K288" i="3"/>
  <c r="J288" i="3" s="1"/>
  <c r="Q287" i="3"/>
  <c r="P287" i="3"/>
  <c r="O287" i="3"/>
  <c r="N287" i="3"/>
  <c r="M287" i="3"/>
  <c r="L287" i="3"/>
  <c r="K287" i="3"/>
  <c r="J287" i="3" s="1"/>
  <c r="Q286" i="3"/>
  <c r="P286" i="3"/>
  <c r="O286" i="3"/>
  <c r="N286" i="3"/>
  <c r="M286" i="3"/>
  <c r="L286" i="3"/>
  <c r="K286" i="3"/>
  <c r="J286" i="3" s="1"/>
  <c r="Q285" i="3"/>
  <c r="P285" i="3"/>
  <c r="O285" i="3"/>
  <c r="N285" i="3"/>
  <c r="M285" i="3"/>
  <c r="L285" i="3"/>
  <c r="K285" i="3"/>
  <c r="J285" i="3" s="1"/>
  <c r="Q284" i="3"/>
  <c r="P284" i="3"/>
  <c r="O284" i="3"/>
  <c r="N284" i="3"/>
  <c r="M284" i="3"/>
  <c r="L284" i="3"/>
  <c r="K284" i="3"/>
  <c r="J284" i="3" s="1"/>
  <c r="Q283" i="3"/>
  <c r="P283" i="3"/>
  <c r="O283" i="3"/>
  <c r="N283" i="3"/>
  <c r="M283" i="3"/>
  <c r="L283" i="3"/>
  <c r="K283" i="3"/>
  <c r="I283" i="3" s="1"/>
  <c r="Q282" i="3"/>
  <c r="P282" i="3"/>
  <c r="O282" i="3"/>
  <c r="N282" i="3"/>
  <c r="M282" i="3"/>
  <c r="L282" i="3"/>
  <c r="K282" i="3"/>
  <c r="J282" i="3" s="1"/>
  <c r="Q281" i="3"/>
  <c r="P281" i="3"/>
  <c r="O281" i="3"/>
  <c r="N281" i="3"/>
  <c r="M281" i="3"/>
  <c r="L281" i="3"/>
  <c r="K281" i="3"/>
  <c r="I281" i="3" s="1"/>
  <c r="Q280" i="3"/>
  <c r="P280" i="3"/>
  <c r="O280" i="3"/>
  <c r="N280" i="3"/>
  <c r="M280" i="3"/>
  <c r="L280" i="3"/>
  <c r="K280" i="3"/>
  <c r="I280" i="3" s="1"/>
  <c r="Q279" i="3"/>
  <c r="P279" i="3"/>
  <c r="O279" i="3"/>
  <c r="N279" i="3"/>
  <c r="M279" i="3"/>
  <c r="L279" i="3"/>
  <c r="K279" i="3"/>
  <c r="J279" i="3" s="1"/>
  <c r="Q278" i="3"/>
  <c r="P278" i="3"/>
  <c r="O278" i="3"/>
  <c r="N278" i="3"/>
  <c r="M278" i="3"/>
  <c r="L278" i="3"/>
  <c r="K278" i="3"/>
  <c r="I278" i="3" s="1"/>
  <c r="Q277" i="3"/>
  <c r="P277" i="3"/>
  <c r="O277" i="3"/>
  <c r="N277" i="3"/>
  <c r="M277" i="3"/>
  <c r="L277" i="3"/>
  <c r="K277" i="3"/>
  <c r="Q276" i="3"/>
  <c r="P276" i="3"/>
  <c r="O276" i="3"/>
  <c r="N276" i="3"/>
  <c r="M276" i="3"/>
  <c r="L276" i="3"/>
  <c r="K276" i="3"/>
  <c r="J276" i="3" s="1"/>
  <c r="Q275" i="3"/>
  <c r="P275" i="3"/>
  <c r="O275" i="3"/>
  <c r="N275" i="3"/>
  <c r="M275" i="3"/>
  <c r="L275" i="3"/>
  <c r="K275" i="3"/>
  <c r="Q274" i="3"/>
  <c r="P274" i="3"/>
  <c r="O274" i="3"/>
  <c r="N274" i="3"/>
  <c r="M274" i="3"/>
  <c r="L274" i="3"/>
  <c r="K274" i="3"/>
  <c r="Q273" i="3"/>
  <c r="P273" i="3"/>
  <c r="O273" i="3"/>
  <c r="N273" i="3"/>
  <c r="M273" i="3"/>
  <c r="L273" i="3"/>
  <c r="K273" i="3"/>
  <c r="I273" i="3" s="1"/>
  <c r="Q272" i="3"/>
  <c r="P272" i="3"/>
  <c r="O272" i="3"/>
  <c r="N272" i="3"/>
  <c r="M272" i="3"/>
  <c r="L272" i="3"/>
  <c r="K272" i="3"/>
  <c r="J272" i="3" s="1"/>
  <c r="Q271" i="3"/>
  <c r="P271" i="3"/>
  <c r="O271" i="3"/>
  <c r="N271" i="3"/>
  <c r="M271" i="3"/>
  <c r="L271" i="3"/>
  <c r="K271" i="3"/>
  <c r="Q270" i="3"/>
  <c r="P270" i="3"/>
  <c r="O270" i="3"/>
  <c r="N270" i="3"/>
  <c r="M270" i="3"/>
  <c r="L270" i="3"/>
  <c r="K270" i="3"/>
  <c r="J270" i="3" s="1"/>
  <c r="Q269" i="3"/>
  <c r="P269" i="3"/>
  <c r="O269" i="3"/>
  <c r="N269" i="3"/>
  <c r="M269" i="3"/>
  <c r="L269" i="3"/>
  <c r="K269" i="3"/>
  <c r="I269" i="3" s="1"/>
  <c r="Q268" i="3"/>
  <c r="P268" i="3"/>
  <c r="O268" i="3"/>
  <c r="N268" i="3"/>
  <c r="M268" i="3"/>
  <c r="L268" i="3"/>
  <c r="K268" i="3"/>
  <c r="J268" i="3" s="1"/>
  <c r="Q267" i="3"/>
  <c r="P267" i="3"/>
  <c r="O267" i="3"/>
  <c r="N267" i="3"/>
  <c r="M267" i="3"/>
  <c r="L267" i="3"/>
  <c r="K267" i="3"/>
  <c r="J267" i="3" s="1"/>
  <c r="Q266" i="3"/>
  <c r="P266" i="3"/>
  <c r="O266" i="3"/>
  <c r="N266" i="3"/>
  <c r="M266" i="3"/>
  <c r="L266" i="3"/>
  <c r="K266" i="3"/>
  <c r="J266" i="3" s="1"/>
  <c r="Q265" i="3"/>
  <c r="P265" i="3"/>
  <c r="O265" i="3"/>
  <c r="N265" i="3"/>
  <c r="M265" i="3"/>
  <c r="L265" i="3"/>
  <c r="K265" i="3"/>
  <c r="I265" i="3" s="1"/>
  <c r="Q264" i="3"/>
  <c r="P264" i="3"/>
  <c r="O264" i="3"/>
  <c r="N264" i="3"/>
  <c r="M264" i="3"/>
  <c r="L264" i="3"/>
  <c r="K264" i="3"/>
  <c r="J264" i="3" s="1"/>
  <c r="Q263" i="3"/>
  <c r="P263" i="3"/>
  <c r="O263" i="3"/>
  <c r="N263" i="3"/>
  <c r="M263" i="3"/>
  <c r="L263" i="3"/>
  <c r="K263" i="3"/>
  <c r="J263" i="3" s="1"/>
  <c r="Q262" i="3"/>
  <c r="P262" i="3"/>
  <c r="O262" i="3"/>
  <c r="N262" i="3"/>
  <c r="M262" i="3"/>
  <c r="L262" i="3"/>
  <c r="K262" i="3"/>
  <c r="J262" i="3" s="1"/>
  <c r="Q261" i="3"/>
  <c r="P261" i="3"/>
  <c r="O261" i="3"/>
  <c r="N261" i="3"/>
  <c r="M261" i="3"/>
  <c r="L261" i="3"/>
  <c r="K261" i="3"/>
  <c r="I261" i="3" s="1"/>
  <c r="Q260" i="3"/>
  <c r="P260" i="3"/>
  <c r="O260" i="3"/>
  <c r="N260" i="3"/>
  <c r="M260" i="3"/>
  <c r="L260" i="3"/>
  <c r="K260" i="3"/>
  <c r="J260" i="3" s="1"/>
  <c r="Q259" i="3"/>
  <c r="P259" i="3"/>
  <c r="O259" i="3"/>
  <c r="N259" i="3"/>
  <c r="M259" i="3"/>
  <c r="L259" i="3"/>
  <c r="K259" i="3"/>
  <c r="J259" i="3" s="1"/>
  <c r="Q258" i="3"/>
  <c r="P258" i="3"/>
  <c r="O258" i="3"/>
  <c r="N258" i="3"/>
  <c r="M258" i="3"/>
  <c r="L258" i="3"/>
  <c r="K258" i="3"/>
  <c r="I258" i="3" s="1"/>
  <c r="Q257" i="3"/>
  <c r="P257" i="3"/>
  <c r="O257" i="3"/>
  <c r="N257" i="3"/>
  <c r="M257" i="3"/>
  <c r="L257" i="3"/>
  <c r="K257" i="3"/>
  <c r="I257" i="3" s="1"/>
  <c r="Q256" i="3"/>
  <c r="P256" i="3"/>
  <c r="O256" i="3"/>
  <c r="N256" i="3"/>
  <c r="M256" i="3"/>
  <c r="L256" i="3"/>
  <c r="K256" i="3"/>
  <c r="J256" i="3" s="1"/>
  <c r="Q255" i="3"/>
  <c r="P255" i="3"/>
  <c r="O255" i="3"/>
  <c r="N255" i="3"/>
  <c r="M255" i="3"/>
  <c r="L255" i="3"/>
  <c r="K255" i="3"/>
  <c r="J255" i="3" s="1"/>
  <c r="Q254" i="3"/>
  <c r="P254" i="3"/>
  <c r="O254" i="3"/>
  <c r="N254" i="3"/>
  <c r="M254" i="3"/>
  <c r="L254" i="3"/>
  <c r="K254" i="3"/>
  <c r="J254" i="3" s="1"/>
  <c r="Q253" i="3"/>
  <c r="P253" i="3"/>
  <c r="O253" i="3"/>
  <c r="N253" i="3"/>
  <c r="M253" i="3"/>
  <c r="L253" i="3"/>
  <c r="K253" i="3"/>
  <c r="I253" i="3" s="1"/>
  <c r="Q252" i="3"/>
  <c r="P252" i="3"/>
  <c r="O252" i="3"/>
  <c r="N252" i="3"/>
  <c r="M252" i="3"/>
  <c r="L252" i="3"/>
  <c r="K252" i="3"/>
  <c r="J252" i="3" s="1"/>
  <c r="Q251" i="3"/>
  <c r="P251" i="3"/>
  <c r="O251" i="3"/>
  <c r="N251" i="3"/>
  <c r="M251" i="3"/>
  <c r="L251" i="3"/>
  <c r="K251" i="3"/>
  <c r="J251" i="3" s="1"/>
  <c r="Q250" i="3"/>
  <c r="P250" i="3"/>
  <c r="O250" i="3"/>
  <c r="N250" i="3"/>
  <c r="M250" i="3"/>
  <c r="L250" i="3"/>
  <c r="K250" i="3"/>
  <c r="I250" i="3" s="1"/>
  <c r="Q249" i="3"/>
  <c r="P249" i="3"/>
  <c r="O249" i="3"/>
  <c r="N249" i="3"/>
  <c r="M249" i="3"/>
  <c r="L249" i="3"/>
  <c r="K249" i="3"/>
  <c r="I249" i="3" s="1"/>
  <c r="Q248" i="3"/>
  <c r="P248" i="3"/>
  <c r="O248" i="3"/>
  <c r="N248" i="3"/>
  <c r="M248" i="3"/>
  <c r="L248" i="3"/>
  <c r="K248" i="3"/>
  <c r="J248" i="3" s="1"/>
  <c r="Q247" i="3"/>
  <c r="P247" i="3"/>
  <c r="O247" i="3"/>
  <c r="N247" i="3"/>
  <c r="M247" i="3"/>
  <c r="L247" i="3"/>
  <c r="K247" i="3"/>
  <c r="I247" i="3" s="1"/>
  <c r="Q246" i="3"/>
  <c r="P246" i="3"/>
  <c r="O246" i="3"/>
  <c r="N246" i="3"/>
  <c r="M246" i="3"/>
  <c r="L246" i="3"/>
  <c r="K246" i="3"/>
  <c r="J246" i="3" s="1"/>
  <c r="Q245" i="3"/>
  <c r="P245" i="3"/>
  <c r="O245" i="3"/>
  <c r="N245" i="3"/>
  <c r="M245" i="3"/>
  <c r="L245" i="3"/>
  <c r="K245" i="3"/>
  <c r="I245" i="3" s="1"/>
  <c r="Q244" i="3"/>
  <c r="P244" i="3"/>
  <c r="O244" i="3"/>
  <c r="N244" i="3"/>
  <c r="M244" i="3"/>
  <c r="L244" i="3"/>
  <c r="K244" i="3"/>
  <c r="J244" i="3" s="1"/>
  <c r="Q243" i="3"/>
  <c r="P243" i="3"/>
  <c r="O243" i="3"/>
  <c r="N243" i="3"/>
  <c r="M243" i="3"/>
  <c r="L243" i="3"/>
  <c r="K243" i="3"/>
  <c r="I243" i="3" s="1"/>
  <c r="Q242" i="3"/>
  <c r="P242" i="3"/>
  <c r="O242" i="3"/>
  <c r="N242" i="3"/>
  <c r="M242" i="3"/>
  <c r="L242" i="3"/>
  <c r="K242" i="3"/>
  <c r="J242" i="3" s="1"/>
  <c r="Q241" i="3"/>
  <c r="P241" i="3"/>
  <c r="O241" i="3"/>
  <c r="N241" i="3"/>
  <c r="M241" i="3"/>
  <c r="L241" i="3"/>
  <c r="K241" i="3"/>
  <c r="Q240" i="3"/>
  <c r="P240" i="3"/>
  <c r="O240" i="3"/>
  <c r="N240" i="3"/>
  <c r="M240" i="3"/>
  <c r="L240" i="3"/>
  <c r="K240" i="3"/>
  <c r="J240" i="3" s="1"/>
  <c r="Q239" i="3"/>
  <c r="P239" i="3"/>
  <c r="O239" i="3"/>
  <c r="N239" i="3"/>
  <c r="M239" i="3"/>
  <c r="L239" i="3"/>
  <c r="K239" i="3"/>
  <c r="Q238" i="3"/>
  <c r="P238" i="3"/>
  <c r="O238" i="3"/>
  <c r="N238" i="3"/>
  <c r="M238" i="3"/>
  <c r="L238" i="3"/>
  <c r="K238" i="3"/>
  <c r="J238" i="3" s="1"/>
  <c r="Q237" i="3"/>
  <c r="P237" i="3"/>
  <c r="O237" i="3"/>
  <c r="N237" i="3"/>
  <c r="M237" i="3"/>
  <c r="L237" i="3"/>
  <c r="K237" i="3"/>
  <c r="I237" i="3" s="1"/>
  <c r="Q236" i="3"/>
  <c r="P236" i="3"/>
  <c r="O236" i="3"/>
  <c r="N236" i="3"/>
  <c r="M236" i="3"/>
  <c r="L236" i="3"/>
  <c r="K236" i="3"/>
  <c r="J236" i="3" s="1"/>
  <c r="Q235" i="3"/>
  <c r="P235" i="3"/>
  <c r="O235" i="3"/>
  <c r="N235" i="3"/>
  <c r="M235" i="3"/>
  <c r="L235" i="3"/>
  <c r="K235" i="3"/>
  <c r="J235" i="3" s="1"/>
  <c r="Q234" i="3"/>
  <c r="P234" i="3"/>
  <c r="O234" i="3"/>
  <c r="N234" i="3"/>
  <c r="M234" i="3"/>
  <c r="L234" i="3"/>
  <c r="K234" i="3"/>
  <c r="J234" i="3" s="1"/>
  <c r="Q233" i="3"/>
  <c r="P233" i="3"/>
  <c r="O233" i="3"/>
  <c r="N233" i="3"/>
  <c r="M233" i="3"/>
  <c r="L233" i="3"/>
  <c r="K233" i="3"/>
  <c r="I233" i="3" s="1"/>
  <c r="Q232" i="3"/>
  <c r="P232" i="3"/>
  <c r="O232" i="3"/>
  <c r="N232" i="3"/>
  <c r="M232" i="3"/>
  <c r="L232" i="3"/>
  <c r="K232" i="3"/>
  <c r="J232" i="3" s="1"/>
  <c r="Q231" i="3"/>
  <c r="P231" i="3"/>
  <c r="O231" i="3"/>
  <c r="N231" i="3"/>
  <c r="M231" i="3"/>
  <c r="L231" i="3"/>
  <c r="K231" i="3"/>
  <c r="J231" i="3" s="1"/>
  <c r="Q230" i="3"/>
  <c r="P230" i="3"/>
  <c r="O230" i="3"/>
  <c r="N230" i="3"/>
  <c r="M230" i="3"/>
  <c r="L230" i="3"/>
  <c r="K230" i="3"/>
  <c r="J230" i="3" s="1"/>
  <c r="Q229" i="3"/>
  <c r="P229" i="3"/>
  <c r="O229" i="3"/>
  <c r="N229" i="3"/>
  <c r="M229" i="3"/>
  <c r="L229" i="3"/>
  <c r="K229" i="3"/>
  <c r="J229" i="3" s="1"/>
  <c r="Q228" i="3"/>
  <c r="P228" i="3"/>
  <c r="O228" i="3"/>
  <c r="N228" i="3"/>
  <c r="M228" i="3"/>
  <c r="L228" i="3"/>
  <c r="K228" i="3"/>
  <c r="I228" i="3" s="1"/>
  <c r="Q227" i="3"/>
  <c r="P227" i="3"/>
  <c r="O227" i="3"/>
  <c r="N227" i="3"/>
  <c r="M227" i="3"/>
  <c r="L227" i="3"/>
  <c r="K227" i="3"/>
  <c r="I227" i="3" s="1"/>
  <c r="Q226" i="3"/>
  <c r="P226" i="3"/>
  <c r="O226" i="3"/>
  <c r="N226" i="3"/>
  <c r="M226" i="3"/>
  <c r="L226" i="3"/>
  <c r="K226" i="3"/>
  <c r="I226" i="3" s="1"/>
  <c r="Q225" i="3"/>
  <c r="P225" i="3"/>
  <c r="O225" i="3"/>
  <c r="N225" i="3"/>
  <c r="M225" i="3"/>
  <c r="L225" i="3"/>
  <c r="K225" i="3"/>
  <c r="J225" i="3" s="1"/>
  <c r="Q224" i="3"/>
  <c r="P224" i="3"/>
  <c r="O224" i="3"/>
  <c r="N224" i="3"/>
  <c r="M224" i="3"/>
  <c r="L224" i="3"/>
  <c r="K224" i="3"/>
  <c r="J224" i="3" s="1"/>
  <c r="Q223" i="3"/>
  <c r="P223" i="3"/>
  <c r="O223" i="3"/>
  <c r="N223" i="3"/>
  <c r="M223" i="3"/>
  <c r="L223" i="3"/>
  <c r="K223" i="3"/>
  <c r="J223" i="3" s="1"/>
  <c r="Q222" i="3"/>
  <c r="P222" i="3"/>
  <c r="O222" i="3"/>
  <c r="N222" i="3"/>
  <c r="M222" i="3"/>
  <c r="L222" i="3"/>
  <c r="K222" i="3"/>
  <c r="J222" i="3" s="1"/>
  <c r="Q221" i="3"/>
  <c r="P221" i="3"/>
  <c r="O221" i="3"/>
  <c r="N221" i="3"/>
  <c r="M221" i="3"/>
  <c r="L221" i="3"/>
  <c r="K221" i="3"/>
  <c r="I221" i="3" s="1"/>
  <c r="Q220" i="3"/>
  <c r="P220" i="3"/>
  <c r="O220" i="3"/>
  <c r="N220" i="3"/>
  <c r="M220" i="3"/>
  <c r="L220" i="3"/>
  <c r="K220" i="3"/>
  <c r="J220" i="3" s="1"/>
  <c r="Q219" i="3"/>
  <c r="P219" i="3"/>
  <c r="O219" i="3"/>
  <c r="N219" i="3"/>
  <c r="M219" i="3"/>
  <c r="L219" i="3"/>
  <c r="K219" i="3"/>
  <c r="I219" i="3" s="1"/>
  <c r="Q218" i="3"/>
  <c r="P218" i="3"/>
  <c r="O218" i="3"/>
  <c r="N218" i="3"/>
  <c r="M218" i="3"/>
  <c r="L218" i="3"/>
  <c r="K218" i="3"/>
  <c r="I218" i="3" s="1"/>
  <c r="Q217" i="3"/>
  <c r="P217" i="3"/>
  <c r="O217" i="3"/>
  <c r="N217" i="3"/>
  <c r="M217" i="3"/>
  <c r="L217" i="3"/>
  <c r="K217" i="3"/>
  <c r="I217" i="3" s="1"/>
  <c r="Q216" i="3"/>
  <c r="P216" i="3"/>
  <c r="O216" i="3"/>
  <c r="N216" i="3"/>
  <c r="M216" i="3"/>
  <c r="L216" i="3"/>
  <c r="K216" i="3"/>
  <c r="J216" i="3" s="1"/>
  <c r="Q215" i="3"/>
  <c r="P215" i="3"/>
  <c r="O215" i="3"/>
  <c r="N215" i="3"/>
  <c r="M215" i="3"/>
  <c r="L215" i="3"/>
  <c r="K215" i="3"/>
  <c r="J215" i="3" s="1"/>
  <c r="Q214" i="3"/>
  <c r="P214" i="3"/>
  <c r="O214" i="3"/>
  <c r="N214" i="3"/>
  <c r="M214" i="3"/>
  <c r="L214" i="3"/>
  <c r="K214" i="3"/>
  <c r="J214" i="3" s="1"/>
  <c r="Q213" i="3"/>
  <c r="P213" i="3"/>
  <c r="O213" i="3"/>
  <c r="N213" i="3"/>
  <c r="M213" i="3"/>
  <c r="L213" i="3"/>
  <c r="K213" i="3"/>
  <c r="Q212" i="3"/>
  <c r="P212" i="3"/>
  <c r="O212" i="3"/>
  <c r="N212" i="3"/>
  <c r="M212" i="3"/>
  <c r="L212" i="3"/>
  <c r="K212" i="3"/>
  <c r="J212" i="3" s="1"/>
  <c r="Q211" i="3"/>
  <c r="P211" i="3"/>
  <c r="O211" i="3"/>
  <c r="N211" i="3"/>
  <c r="M211" i="3"/>
  <c r="L211" i="3"/>
  <c r="K211" i="3"/>
  <c r="J211" i="3" s="1"/>
  <c r="Q210" i="3"/>
  <c r="P210" i="3"/>
  <c r="O210" i="3"/>
  <c r="N210" i="3"/>
  <c r="M210" i="3"/>
  <c r="L210" i="3"/>
  <c r="K210" i="3"/>
  <c r="I210" i="3" s="1"/>
  <c r="Q209" i="3"/>
  <c r="P209" i="3"/>
  <c r="O209" i="3"/>
  <c r="N209" i="3"/>
  <c r="M209" i="3"/>
  <c r="L209" i="3"/>
  <c r="K209" i="3"/>
  <c r="I209" i="3" s="1"/>
  <c r="Q208" i="3"/>
  <c r="P208" i="3"/>
  <c r="O208" i="3"/>
  <c r="N208" i="3"/>
  <c r="M208" i="3"/>
  <c r="L208" i="3"/>
  <c r="K208" i="3"/>
  <c r="J208" i="3" s="1"/>
  <c r="Q207" i="3"/>
  <c r="P207" i="3"/>
  <c r="O207" i="3"/>
  <c r="N207" i="3"/>
  <c r="M207" i="3"/>
  <c r="L207" i="3"/>
  <c r="K207" i="3"/>
  <c r="J207" i="3" s="1"/>
  <c r="Q206" i="3"/>
  <c r="P206" i="3"/>
  <c r="O206" i="3"/>
  <c r="N206" i="3"/>
  <c r="M206" i="3"/>
  <c r="L206" i="3"/>
  <c r="K206" i="3"/>
  <c r="J206" i="3" s="1"/>
  <c r="Q205" i="3"/>
  <c r="P205" i="3"/>
  <c r="O205" i="3"/>
  <c r="N205" i="3"/>
  <c r="M205" i="3"/>
  <c r="L205" i="3"/>
  <c r="K205" i="3"/>
  <c r="Q204" i="3"/>
  <c r="P204" i="3"/>
  <c r="O204" i="3"/>
  <c r="N204" i="3"/>
  <c r="M204" i="3"/>
  <c r="L204" i="3"/>
  <c r="K204" i="3"/>
  <c r="J204" i="3" s="1"/>
  <c r="Q203" i="3"/>
  <c r="P203" i="3"/>
  <c r="O203" i="3"/>
  <c r="N203" i="3"/>
  <c r="M203" i="3"/>
  <c r="L203" i="3"/>
  <c r="K203" i="3"/>
  <c r="J203" i="3" s="1"/>
  <c r="Q202" i="3"/>
  <c r="P202" i="3"/>
  <c r="O202" i="3"/>
  <c r="N202" i="3"/>
  <c r="M202" i="3"/>
  <c r="L202" i="3"/>
  <c r="K202" i="3"/>
  <c r="I202" i="3" s="1"/>
  <c r="Q201" i="3"/>
  <c r="P201" i="3"/>
  <c r="O201" i="3"/>
  <c r="N201" i="3"/>
  <c r="M201" i="3"/>
  <c r="L201" i="3"/>
  <c r="K201" i="3"/>
  <c r="I201" i="3" s="1"/>
  <c r="Q200" i="3"/>
  <c r="P200" i="3"/>
  <c r="O200" i="3"/>
  <c r="N200" i="3"/>
  <c r="M200" i="3"/>
  <c r="L200" i="3"/>
  <c r="K200" i="3"/>
  <c r="J200" i="3" s="1"/>
  <c r="Q199" i="3"/>
  <c r="P199" i="3"/>
  <c r="O199" i="3"/>
  <c r="N199" i="3"/>
  <c r="M199" i="3"/>
  <c r="L199" i="3"/>
  <c r="K199" i="3"/>
  <c r="J199" i="3" s="1"/>
  <c r="Q198" i="3"/>
  <c r="P198" i="3"/>
  <c r="O198" i="3"/>
  <c r="N198" i="3"/>
  <c r="M198" i="3"/>
  <c r="L198" i="3"/>
  <c r="K198" i="3"/>
  <c r="J198" i="3" s="1"/>
  <c r="Q197" i="3"/>
  <c r="P197" i="3"/>
  <c r="O197" i="3"/>
  <c r="N197" i="3"/>
  <c r="M197" i="3"/>
  <c r="L197" i="3"/>
  <c r="K197" i="3"/>
  <c r="I197" i="3" s="1"/>
  <c r="Q196" i="3"/>
  <c r="P196" i="3"/>
  <c r="O196" i="3"/>
  <c r="N196" i="3"/>
  <c r="M196" i="3"/>
  <c r="L196" i="3"/>
  <c r="K196" i="3"/>
  <c r="J196" i="3" s="1"/>
  <c r="Q195" i="3"/>
  <c r="P195" i="3"/>
  <c r="O195" i="3"/>
  <c r="N195" i="3"/>
  <c r="M195" i="3"/>
  <c r="L195" i="3"/>
  <c r="K195" i="3"/>
  <c r="J195" i="3" s="1"/>
  <c r="Q194" i="3"/>
  <c r="P194" i="3"/>
  <c r="O194" i="3"/>
  <c r="N194" i="3"/>
  <c r="M194" i="3"/>
  <c r="L194" i="3"/>
  <c r="K194" i="3"/>
  <c r="I194" i="3" s="1"/>
  <c r="Q193" i="3"/>
  <c r="P193" i="3"/>
  <c r="O193" i="3"/>
  <c r="N193" i="3"/>
  <c r="M193" i="3"/>
  <c r="L193" i="3"/>
  <c r="K193" i="3"/>
  <c r="I193" i="3" s="1"/>
  <c r="Q192" i="3"/>
  <c r="P192" i="3"/>
  <c r="O192" i="3"/>
  <c r="N192" i="3"/>
  <c r="M192" i="3"/>
  <c r="L192" i="3"/>
  <c r="K192" i="3"/>
  <c r="J192" i="3" s="1"/>
  <c r="Q191" i="3"/>
  <c r="P191" i="3"/>
  <c r="O191" i="3"/>
  <c r="N191" i="3"/>
  <c r="M191" i="3"/>
  <c r="L191" i="3"/>
  <c r="K191" i="3"/>
  <c r="J191" i="3" s="1"/>
  <c r="Q190" i="3"/>
  <c r="P190" i="3"/>
  <c r="O190" i="3"/>
  <c r="N190" i="3"/>
  <c r="M190" i="3"/>
  <c r="L190" i="3"/>
  <c r="K190" i="3"/>
  <c r="J190" i="3" s="1"/>
  <c r="Q189" i="3"/>
  <c r="P189" i="3"/>
  <c r="O189" i="3"/>
  <c r="N189" i="3"/>
  <c r="M189" i="3"/>
  <c r="L189" i="3"/>
  <c r="K189" i="3"/>
  <c r="I189" i="3" s="1"/>
  <c r="Q188" i="3"/>
  <c r="P188" i="3"/>
  <c r="O188" i="3"/>
  <c r="N188" i="3"/>
  <c r="M188" i="3"/>
  <c r="L188" i="3"/>
  <c r="K188" i="3"/>
  <c r="J188" i="3" s="1"/>
  <c r="Q187" i="3"/>
  <c r="P187" i="3"/>
  <c r="O187" i="3"/>
  <c r="N187" i="3"/>
  <c r="M187" i="3"/>
  <c r="L187" i="3"/>
  <c r="K187" i="3"/>
  <c r="J187" i="3" s="1"/>
  <c r="Q186" i="3"/>
  <c r="P186" i="3"/>
  <c r="O186" i="3"/>
  <c r="N186" i="3"/>
  <c r="M186" i="3"/>
  <c r="L186" i="3"/>
  <c r="K186" i="3"/>
  <c r="J186" i="3" s="1"/>
  <c r="Q185" i="3"/>
  <c r="P185" i="3"/>
  <c r="O185" i="3"/>
  <c r="N185" i="3"/>
  <c r="M185" i="3"/>
  <c r="L185" i="3"/>
  <c r="K185" i="3"/>
  <c r="I185" i="3" s="1"/>
  <c r="Q184" i="3"/>
  <c r="P184" i="3"/>
  <c r="O184" i="3"/>
  <c r="N184" i="3"/>
  <c r="M184" i="3"/>
  <c r="L184" i="3"/>
  <c r="K184" i="3"/>
  <c r="J184" i="3" s="1"/>
  <c r="Q183" i="3"/>
  <c r="P183" i="3"/>
  <c r="O183" i="3"/>
  <c r="N183" i="3"/>
  <c r="M183" i="3"/>
  <c r="L183" i="3"/>
  <c r="K183" i="3"/>
  <c r="I183" i="3" s="1"/>
  <c r="Q182" i="3"/>
  <c r="P182" i="3"/>
  <c r="O182" i="3"/>
  <c r="N182" i="3"/>
  <c r="M182" i="3"/>
  <c r="L182" i="3"/>
  <c r="K182" i="3"/>
  <c r="J182" i="3" s="1"/>
  <c r="Q181" i="3"/>
  <c r="P181" i="3"/>
  <c r="O181" i="3"/>
  <c r="N181" i="3"/>
  <c r="M181" i="3"/>
  <c r="L181" i="3"/>
  <c r="K181" i="3"/>
  <c r="I181" i="3" s="1"/>
  <c r="Q180" i="3"/>
  <c r="P180" i="3"/>
  <c r="O180" i="3"/>
  <c r="N180" i="3"/>
  <c r="M180" i="3"/>
  <c r="L180" i="3"/>
  <c r="K180" i="3"/>
  <c r="J180" i="3" s="1"/>
  <c r="Q179" i="3"/>
  <c r="P179" i="3"/>
  <c r="O179" i="3"/>
  <c r="N179" i="3"/>
  <c r="M179" i="3"/>
  <c r="L179" i="3"/>
  <c r="K179" i="3"/>
  <c r="Q178" i="3"/>
  <c r="P178" i="3"/>
  <c r="O178" i="3"/>
  <c r="N178" i="3"/>
  <c r="M178" i="3"/>
  <c r="L178" i="3"/>
  <c r="K178" i="3"/>
  <c r="J178" i="3" s="1"/>
  <c r="Q177" i="3"/>
  <c r="P177" i="3"/>
  <c r="O177" i="3"/>
  <c r="N177" i="3"/>
  <c r="M177" i="3"/>
  <c r="L177" i="3"/>
  <c r="K177" i="3"/>
  <c r="I177" i="3" s="1"/>
  <c r="Q176" i="3"/>
  <c r="P176" i="3"/>
  <c r="O176" i="3"/>
  <c r="N176" i="3"/>
  <c r="M176" i="3"/>
  <c r="L176" i="3"/>
  <c r="K176" i="3"/>
  <c r="J176" i="3" s="1"/>
  <c r="Q175" i="3"/>
  <c r="P175" i="3"/>
  <c r="O175" i="3"/>
  <c r="N175" i="3"/>
  <c r="M175" i="3"/>
  <c r="L175" i="3"/>
  <c r="K175" i="3"/>
  <c r="I175" i="3" s="1"/>
  <c r="Q174" i="3"/>
  <c r="P174" i="3"/>
  <c r="O174" i="3"/>
  <c r="N174" i="3"/>
  <c r="M174" i="3"/>
  <c r="L174" i="3"/>
  <c r="K174" i="3"/>
  <c r="J174" i="3" s="1"/>
  <c r="Q173" i="3"/>
  <c r="P173" i="3"/>
  <c r="O173" i="3"/>
  <c r="N173" i="3"/>
  <c r="M173" i="3"/>
  <c r="L173" i="3"/>
  <c r="K173" i="3"/>
  <c r="I173" i="3" s="1"/>
  <c r="Q172" i="3"/>
  <c r="P172" i="3"/>
  <c r="O172" i="3"/>
  <c r="N172" i="3"/>
  <c r="M172" i="3"/>
  <c r="L172" i="3"/>
  <c r="K172" i="3"/>
  <c r="J172" i="3" s="1"/>
  <c r="Q171" i="3"/>
  <c r="P171" i="3"/>
  <c r="O171" i="3"/>
  <c r="N171" i="3"/>
  <c r="M171" i="3"/>
  <c r="L171" i="3"/>
  <c r="K171" i="3"/>
  <c r="I171" i="3" s="1"/>
  <c r="Q170" i="3"/>
  <c r="P170" i="3"/>
  <c r="O170" i="3"/>
  <c r="N170" i="3"/>
  <c r="M170" i="3"/>
  <c r="L170" i="3"/>
  <c r="K170" i="3"/>
  <c r="J170" i="3" s="1"/>
  <c r="Q169" i="3"/>
  <c r="P169" i="3"/>
  <c r="O169" i="3"/>
  <c r="N169" i="3"/>
  <c r="M169" i="3"/>
  <c r="L169" i="3"/>
  <c r="K169" i="3"/>
  <c r="I169" i="3" s="1"/>
  <c r="Q168" i="3"/>
  <c r="P168" i="3"/>
  <c r="O168" i="3"/>
  <c r="N168" i="3"/>
  <c r="M168" i="3"/>
  <c r="L168" i="3"/>
  <c r="K168" i="3"/>
  <c r="J168" i="3" s="1"/>
  <c r="Q167" i="3"/>
  <c r="P167" i="3"/>
  <c r="O167" i="3"/>
  <c r="N167" i="3"/>
  <c r="M167" i="3"/>
  <c r="L167" i="3"/>
  <c r="K167" i="3"/>
  <c r="I167" i="3" s="1"/>
  <c r="Q166" i="3"/>
  <c r="P166" i="3"/>
  <c r="O166" i="3"/>
  <c r="N166" i="3"/>
  <c r="M166" i="3"/>
  <c r="L166" i="3"/>
  <c r="K166" i="3"/>
  <c r="J166" i="3" s="1"/>
  <c r="Q165" i="3"/>
  <c r="P165" i="3"/>
  <c r="O165" i="3"/>
  <c r="N165" i="3"/>
  <c r="M165" i="3"/>
  <c r="L165" i="3"/>
  <c r="K165" i="3"/>
  <c r="J165" i="3" s="1"/>
  <c r="Q164" i="3"/>
  <c r="P164" i="3"/>
  <c r="O164" i="3"/>
  <c r="N164" i="3"/>
  <c r="M164" i="3"/>
  <c r="L164" i="3"/>
  <c r="K164" i="3"/>
  <c r="I164" i="3" s="1"/>
  <c r="Q163" i="3"/>
  <c r="P163" i="3"/>
  <c r="O163" i="3"/>
  <c r="N163" i="3"/>
  <c r="M163" i="3"/>
  <c r="L163" i="3"/>
  <c r="K163" i="3"/>
  <c r="I163" i="3" s="1"/>
  <c r="Q162" i="3"/>
  <c r="P162" i="3"/>
  <c r="O162" i="3"/>
  <c r="N162" i="3"/>
  <c r="M162" i="3"/>
  <c r="L162" i="3"/>
  <c r="K162" i="3"/>
  <c r="J162" i="3" s="1"/>
  <c r="Q161" i="3"/>
  <c r="P161" i="3"/>
  <c r="O161" i="3"/>
  <c r="N161" i="3"/>
  <c r="M161" i="3"/>
  <c r="L161" i="3"/>
  <c r="K161" i="3"/>
  <c r="J161" i="3" s="1"/>
  <c r="Q160" i="3"/>
  <c r="P160" i="3"/>
  <c r="O160" i="3"/>
  <c r="N160" i="3"/>
  <c r="M160" i="3"/>
  <c r="L160" i="3"/>
  <c r="K160" i="3"/>
  <c r="J160" i="3" s="1"/>
  <c r="Q159" i="3"/>
  <c r="P159" i="3"/>
  <c r="O159" i="3"/>
  <c r="N159" i="3"/>
  <c r="M159" i="3"/>
  <c r="L159" i="3"/>
  <c r="K159" i="3"/>
  <c r="I159" i="3" s="1"/>
  <c r="Q158" i="3"/>
  <c r="P158" i="3"/>
  <c r="O158" i="3"/>
  <c r="N158" i="3"/>
  <c r="M158" i="3"/>
  <c r="L158" i="3"/>
  <c r="K158" i="3"/>
  <c r="J158" i="3" s="1"/>
  <c r="Q157" i="3"/>
  <c r="P157" i="3"/>
  <c r="O157" i="3"/>
  <c r="N157" i="3"/>
  <c r="M157" i="3"/>
  <c r="L157" i="3"/>
  <c r="K157" i="3"/>
  <c r="J157" i="3" s="1"/>
  <c r="Q156" i="3"/>
  <c r="P156" i="3"/>
  <c r="O156" i="3"/>
  <c r="N156" i="3"/>
  <c r="M156" i="3"/>
  <c r="L156" i="3"/>
  <c r="K156" i="3"/>
  <c r="J156" i="3" s="1"/>
  <c r="Q155" i="3"/>
  <c r="P155" i="3"/>
  <c r="O155" i="3"/>
  <c r="N155" i="3"/>
  <c r="M155" i="3"/>
  <c r="L155" i="3"/>
  <c r="K155" i="3"/>
  <c r="I155" i="3" s="1"/>
  <c r="Q154" i="3"/>
  <c r="P154" i="3"/>
  <c r="O154" i="3"/>
  <c r="N154" i="3"/>
  <c r="M154" i="3"/>
  <c r="L154" i="3"/>
  <c r="K154" i="3"/>
  <c r="J154" i="3" s="1"/>
  <c r="Q153" i="3"/>
  <c r="P153" i="3"/>
  <c r="O153" i="3"/>
  <c r="N153" i="3"/>
  <c r="M153" i="3"/>
  <c r="L153" i="3"/>
  <c r="K153" i="3"/>
  <c r="J153" i="3" s="1"/>
  <c r="Q152" i="3"/>
  <c r="P152" i="3"/>
  <c r="O152" i="3"/>
  <c r="N152" i="3"/>
  <c r="M152" i="3"/>
  <c r="L152" i="3"/>
  <c r="K152" i="3"/>
  <c r="J152" i="3" s="1"/>
  <c r="Q151" i="3"/>
  <c r="P151" i="3"/>
  <c r="O151" i="3"/>
  <c r="N151" i="3"/>
  <c r="M151" i="3"/>
  <c r="L151" i="3"/>
  <c r="K151" i="3"/>
  <c r="I151" i="3" s="1"/>
  <c r="Q150" i="3"/>
  <c r="P150" i="3"/>
  <c r="O150" i="3"/>
  <c r="N150" i="3"/>
  <c r="M150" i="3"/>
  <c r="L150" i="3"/>
  <c r="K150" i="3"/>
  <c r="J150" i="3" s="1"/>
  <c r="Q149" i="3"/>
  <c r="P149" i="3"/>
  <c r="O149" i="3"/>
  <c r="N149" i="3"/>
  <c r="M149" i="3"/>
  <c r="L149" i="3"/>
  <c r="K149" i="3"/>
  <c r="I149" i="3" s="1"/>
  <c r="Q148" i="3"/>
  <c r="P148" i="3"/>
  <c r="O148" i="3"/>
  <c r="N148" i="3"/>
  <c r="M148" i="3"/>
  <c r="L148" i="3"/>
  <c r="K148" i="3"/>
  <c r="J148" i="3" s="1"/>
  <c r="Q147" i="3"/>
  <c r="P147" i="3"/>
  <c r="O147" i="3"/>
  <c r="N147" i="3"/>
  <c r="M147" i="3"/>
  <c r="L147" i="3"/>
  <c r="K147" i="3"/>
  <c r="I147" i="3" s="1"/>
  <c r="Q146" i="3"/>
  <c r="P146" i="3"/>
  <c r="O146" i="3"/>
  <c r="N146" i="3"/>
  <c r="M146" i="3"/>
  <c r="L146" i="3"/>
  <c r="K146" i="3"/>
  <c r="Q145" i="3"/>
  <c r="P145" i="3"/>
  <c r="O145" i="3"/>
  <c r="N145" i="3"/>
  <c r="M145" i="3"/>
  <c r="L145" i="3"/>
  <c r="K145" i="3"/>
  <c r="I145" i="3" s="1"/>
  <c r="Q144" i="3"/>
  <c r="P144" i="3"/>
  <c r="O144" i="3"/>
  <c r="N144" i="3"/>
  <c r="M144" i="3"/>
  <c r="L144" i="3"/>
  <c r="K144" i="3"/>
  <c r="J144" i="3" s="1"/>
  <c r="Q143" i="3"/>
  <c r="P143" i="3"/>
  <c r="O143" i="3"/>
  <c r="N143" i="3"/>
  <c r="M143" i="3"/>
  <c r="L143" i="3"/>
  <c r="K143" i="3"/>
  <c r="I143" i="3" s="1"/>
  <c r="Q142" i="3"/>
  <c r="P142" i="3"/>
  <c r="O142" i="3"/>
  <c r="N142" i="3"/>
  <c r="M142" i="3"/>
  <c r="L142" i="3"/>
  <c r="K142" i="3"/>
  <c r="J142" i="3" s="1"/>
  <c r="Q141" i="3"/>
  <c r="P141" i="3"/>
  <c r="O141" i="3"/>
  <c r="N141" i="3"/>
  <c r="M141" i="3"/>
  <c r="L141" i="3"/>
  <c r="K141" i="3"/>
  <c r="I141" i="3" s="1"/>
  <c r="Q140" i="3"/>
  <c r="P140" i="3"/>
  <c r="O140" i="3"/>
  <c r="N140" i="3"/>
  <c r="M140" i="3"/>
  <c r="L140" i="3"/>
  <c r="K140" i="3"/>
  <c r="J140" i="3" s="1"/>
  <c r="Q139" i="3"/>
  <c r="P139" i="3"/>
  <c r="O139" i="3"/>
  <c r="N139" i="3"/>
  <c r="M139" i="3"/>
  <c r="L139" i="3"/>
  <c r="K139" i="3"/>
  <c r="I139" i="3" s="1"/>
  <c r="Q138" i="3"/>
  <c r="P138" i="3"/>
  <c r="O138" i="3"/>
  <c r="N138" i="3"/>
  <c r="M138" i="3"/>
  <c r="L138" i="3"/>
  <c r="K138" i="3"/>
  <c r="I138" i="3" s="1"/>
  <c r="Q137" i="3"/>
  <c r="P137" i="3"/>
  <c r="O137" i="3"/>
  <c r="N137" i="3"/>
  <c r="M137" i="3"/>
  <c r="L137" i="3"/>
  <c r="K137" i="3"/>
  <c r="J137" i="3" s="1"/>
  <c r="Q136" i="3"/>
  <c r="P136" i="3"/>
  <c r="O136" i="3"/>
  <c r="N136" i="3"/>
  <c r="M136" i="3"/>
  <c r="L136" i="3"/>
  <c r="K136" i="3"/>
  <c r="J136" i="3" s="1"/>
  <c r="Q135" i="3"/>
  <c r="P135" i="3"/>
  <c r="O135" i="3"/>
  <c r="N135" i="3"/>
  <c r="M135" i="3"/>
  <c r="L135" i="3"/>
  <c r="K135" i="3"/>
  <c r="J135" i="3" s="1"/>
  <c r="Q134" i="3"/>
  <c r="P134" i="3"/>
  <c r="O134" i="3"/>
  <c r="N134" i="3"/>
  <c r="M134" i="3"/>
  <c r="L134" i="3"/>
  <c r="K134" i="3"/>
  <c r="I134" i="3" s="1"/>
  <c r="Q133" i="3"/>
  <c r="P133" i="3"/>
  <c r="O133" i="3"/>
  <c r="N133" i="3"/>
  <c r="M133" i="3"/>
  <c r="L133" i="3"/>
  <c r="K133" i="3"/>
  <c r="I133" i="3" s="1"/>
  <c r="Q132" i="3"/>
  <c r="P132" i="3"/>
  <c r="O132" i="3"/>
  <c r="N132" i="3"/>
  <c r="M132" i="3"/>
  <c r="L132" i="3"/>
  <c r="K132" i="3"/>
  <c r="I132" i="3" s="1"/>
  <c r="Q131" i="3"/>
  <c r="P131" i="3"/>
  <c r="O131" i="3"/>
  <c r="N131" i="3"/>
  <c r="M131" i="3"/>
  <c r="L131" i="3"/>
  <c r="K131" i="3"/>
  <c r="I131" i="3" s="1"/>
  <c r="Q130" i="3"/>
  <c r="P130" i="3"/>
  <c r="O130" i="3"/>
  <c r="N130" i="3"/>
  <c r="M130" i="3"/>
  <c r="L130" i="3"/>
  <c r="K130" i="3"/>
  <c r="J130" i="3" s="1"/>
  <c r="Q129" i="3"/>
  <c r="P129" i="3"/>
  <c r="O129" i="3"/>
  <c r="N129" i="3"/>
  <c r="M129" i="3"/>
  <c r="L129" i="3"/>
  <c r="K129" i="3"/>
  <c r="Q128" i="3"/>
  <c r="P128" i="3"/>
  <c r="O128" i="3"/>
  <c r="N128" i="3"/>
  <c r="M128" i="3"/>
  <c r="L128" i="3"/>
  <c r="K128" i="3"/>
  <c r="I128" i="3" s="1"/>
  <c r="Q127" i="3"/>
  <c r="P127" i="3"/>
  <c r="O127" i="3"/>
  <c r="N127" i="3"/>
  <c r="M127" i="3"/>
  <c r="L127" i="3"/>
  <c r="K127" i="3"/>
  <c r="I127" i="3" s="1"/>
  <c r="Q126" i="3"/>
  <c r="P126" i="3"/>
  <c r="O126" i="3"/>
  <c r="N126" i="3"/>
  <c r="M126" i="3"/>
  <c r="L126" i="3"/>
  <c r="K126" i="3"/>
  <c r="J126" i="3" s="1"/>
  <c r="Q125" i="3"/>
  <c r="P125" i="3"/>
  <c r="O125" i="3"/>
  <c r="N125" i="3"/>
  <c r="M125" i="3"/>
  <c r="L125" i="3"/>
  <c r="K125" i="3"/>
  <c r="J125" i="3" s="1"/>
  <c r="Q124" i="3"/>
  <c r="P124" i="3"/>
  <c r="O124" i="3"/>
  <c r="N124" i="3"/>
  <c r="M124" i="3"/>
  <c r="L124" i="3"/>
  <c r="K124" i="3"/>
  <c r="J124" i="3" s="1"/>
  <c r="Q123" i="3"/>
  <c r="P123" i="3"/>
  <c r="O123" i="3"/>
  <c r="N123" i="3"/>
  <c r="M123" i="3"/>
  <c r="L123" i="3"/>
  <c r="K123" i="3"/>
  <c r="I123" i="3" s="1"/>
  <c r="Q122" i="3"/>
  <c r="P122" i="3"/>
  <c r="O122" i="3"/>
  <c r="N122" i="3"/>
  <c r="M122" i="3"/>
  <c r="L122" i="3"/>
  <c r="K122" i="3"/>
  <c r="J122" i="3" s="1"/>
  <c r="Q121" i="3"/>
  <c r="P121" i="3"/>
  <c r="O121" i="3"/>
  <c r="N121" i="3"/>
  <c r="M121" i="3"/>
  <c r="L121" i="3"/>
  <c r="K121" i="3"/>
  <c r="J121" i="3" s="1"/>
  <c r="Q120" i="3"/>
  <c r="P120" i="3"/>
  <c r="O120" i="3"/>
  <c r="N120" i="3"/>
  <c r="M120" i="3"/>
  <c r="L120" i="3"/>
  <c r="K120" i="3"/>
  <c r="J120" i="3" s="1"/>
  <c r="Q119" i="3"/>
  <c r="P119" i="3"/>
  <c r="O119" i="3"/>
  <c r="N119" i="3"/>
  <c r="M119" i="3"/>
  <c r="L119" i="3"/>
  <c r="K119" i="3"/>
  <c r="I119" i="3" s="1"/>
  <c r="Q118" i="3"/>
  <c r="P118" i="3"/>
  <c r="O118" i="3"/>
  <c r="N118" i="3"/>
  <c r="M118" i="3"/>
  <c r="L118" i="3"/>
  <c r="K118" i="3"/>
  <c r="J118" i="3" s="1"/>
  <c r="Q117" i="3"/>
  <c r="P117" i="3"/>
  <c r="O117" i="3"/>
  <c r="N117" i="3"/>
  <c r="M117" i="3"/>
  <c r="L117" i="3"/>
  <c r="K117" i="3"/>
  <c r="I117" i="3" s="1"/>
  <c r="Q116" i="3"/>
  <c r="P116" i="3"/>
  <c r="O116" i="3"/>
  <c r="N116" i="3"/>
  <c r="M116" i="3"/>
  <c r="L116" i="3"/>
  <c r="K116" i="3"/>
  <c r="J116" i="3" s="1"/>
  <c r="Q115" i="3"/>
  <c r="P115" i="3"/>
  <c r="O115" i="3"/>
  <c r="N115" i="3"/>
  <c r="M115" i="3"/>
  <c r="L115" i="3"/>
  <c r="K115" i="3"/>
  <c r="I115" i="3" s="1"/>
  <c r="Q114" i="3"/>
  <c r="P114" i="3"/>
  <c r="O114" i="3"/>
  <c r="N114" i="3"/>
  <c r="M114" i="3"/>
  <c r="L114" i="3"/>
  <c r="K114" i="3"/>
  <c r="J114" i="3" s="1"/>
  <c r="Q113" i="3"/>
  <c r="P113" i="3"/>
  <c r="O113" i="3"/>
  <c r="N113" i="3"/>
  <c r="M113" i="3"/>
  <c r="L113" i="3"/>
  <c r="K113" i="3"/>
  <c r="I113" i="3" s="1"/>
  <c r="Q112" i="3"/>
  <c r="P112" i="3"/>
  <c r="O112" i="3"/>
  <c r="N112" i="3"/>
  <c r="M112" i="3"/>
  <c r="L112" i="3"/>
  <c r="K112" i="3"/>
  <c r="J112" i="3" s="1"/>
  <c r="Q111" i="3"/>
  <c r="P111" i="3"/>
  <c r="O111" i="3"/>
  <c r="N111" i="3"/>
  <c r="M111" i="3"/>
  <c r="L111" i="3"/>
  <c r="K111" i="3"/>
  <c r="I111" i="3" s="1"/>
  <c r="Q110" i="3"/>
  <c r="P110" i="3"/>
  <c r="O110" i="3"/>
  <c r="N110" i="3"/>
  <c r="M110" i="3"/>
  <c r="L110" i="3"/>
  <c r="K110" i="3"/>
  <c r="J110" i="3" s="1"/>
  <c r="Q109" i="3"/>
  <c r="P109" i="3"/>
  <c r="O109" i="3"/>
  <c r="N109" i="3"/>
  <c r="M109" i="3"/>
  <c r="L109" i="3"/>
  <c r="K109" i="3"/>
  <c r="Q108" i="3"/>
  <c r="P108" i="3"/>
  <c r="O108" i="3"/>
  <c r="N108" i="3"/>
  <c r="M108" i="3"/>
  <c r="L108" i="3"/>
  <c r="K108" i="3"/>
  <c r="J108" i="3" s="1"/>
  <c r="Q107" i="3"/>
  <c r="P107" i="3"/>
  <c r="O107" i="3"/>
  <c r="N107" i="3"/>
  <c r="M107" i="3"/>
  <c r="L107" i="3"/>
  <c r="K107" i="3"/>
  <c r="I107" i="3" s="1"/>
  <c r="Q106" i="3"/>
  <c r="P106" i="3"/>
  <c r="O106" i="3"/>
  <c r="N106" i="3"/>
  <c r="M106" i="3"/>
  <c r="L106" i="3"/>
  <c r="K106" i="3"/>
  <c r="J106" i="3" s="1"/>
  <c r="Q105" i="3"/>
  <c r="P105" i="3"/>
  <c r="O105" i="3"/>
  <c r="N105" i="3"/>
  <c r="M105" i="3"/>
  <c r="L105" i="3"/>
  <c r="K105" i="3"/>
  <c r="I105" i="3" s="1"/>
  <c r="Q104" i="3"/>
  <c r="P104" i="3"/>
  <c r="O104" i="3"/>
  <c r="N104" i="3"/>
  <c r="M104" i="3"/>
  <c r="L104" i="3"/>
  <c r="K104" i="3"/>
  <c r="J104" i="3" s="1"/>
  <c r="Q103" i="3"/>
  <c r="P103" i="3"/>
  <c r="O103" i="3"/>
  <c r="N103" i="3"/>
  <c r="M103" i="3"/>
  <c r="L103" i="3"/>
  <c r="K103" i="3"/>
  <c r="I103" i="3" s="1"/>
  <c r="Q102" i="3"/>
  <c r="P102" i="3"/>
  <c r="O102" i="3"/>
  <c r="N102" i="3"/>
  <c r="M102" i="3"/>
  <c r="L102" i="3"/>
  <c r="K102" i="3"/>
  <c r="J102" i="3" s="1"/>
  <c r="Q101" i="3"/>
  <c r="P101" i="3"/>
  <c r="O101" i="3"/>
  <c r="N101" i="3"/>
  <c r="M101" i="3"/>
  <c r="L101" i="3"/>
  <c r="K101" i="3"/>
  <c r="J101" i="3" s="1"/>
  <c r="Q100" i="3"/>
  <c r="P100" i="3"/>
  <c r="O100" i="3"/>
  <c r="N100" i="3"/>
  <c r="M100" i="3"/>
  <c r="L100" i="3"/>
  <c r="K100" i="3"/>
  <c r="J100" i="3" s="1"/>
  <c r="Q99" i="3"/>
  <c r="P99" i="3"/>
  <c r="O99" i="3"/>
  <c r="N99" i="3"/>
  <c r="M99" i="3"/>
  <c r="L99" i="3"/>
  <c r="K99" i="3"/>
  <c r="I99" i="3" s="1"/>
  <c r="Q98" i="3"/>
  <c r="P98" i="3"/>
  <c r="O98" i="3"/>
  <c r="N98" i="3"/>
  <c r="M98" i="3"/>
  <c r="L98" i="3"/>
  <c r="K98" i="3"/>
  <c r="J98" i="3" s="1"/>
  <c r="Q97" i="3"/>
  <c r="P97" i="3"/>
  <c r="O97" i="3"/>
  <c r="N97" i="3"/>
  <c r="M97" i="3"/>
  <c r="L97" i="3"/>
  <c r="K97" i="3"/>
  <c r="J97" i="3" s="1"/>
  <c r="Q96" i="3"/>
  <c r="P96" i="3"/>
  <c r="O96" i="3"/>
  <c r="N96" i="3"/>
  <c r="M96" i="3"/>
  <c r="L96" i="3"/>
  <c r="K96" i="3"/>
  <c r="J96" i="3" s="1"/>
  <c r="Q95" i="3"/>
  <c r="P95" i="3"/>
  <c r="O95" i="3"/>
  <c r="N95" i="3"/>
  <c r="M95" i="3"/>
  <c r="L95" i="3"/>
  <c r="K95" i="3"/>
  <c r="I95" i="3" s="1"/>
  <c r="Q94" i="3"/>
  <c r="P94" i="3"/>
  <c r="O94" i="3"/>
  <c r="N94" i="3"/>
  <c r="M94" i="3"/>
  <c r="L94" i="3"/>
  <c r="K94" i="3"/>
  <c r="J94" i="3" s="1"/>
  <c r="Q93" i="3"/>
  <c r="P93" i="3"/>
  <c r="O93" i="3"/>
  <c r="N93" i="3"/>
  <c r="M93" i="3"/>
  <c r="L93" i="3"/>
  <c r="K93" i="3"/>
  <c r="Q92" i="3"/>
  <c r="P92" i="3"/>
  <c r="O92" i="3"/>
  <c r="N92" i="3"/>
  <c r="M92" i="3"/>
  <c r="L92" i="3"/>
  <c r="K92" i="3"/>
  <c r="I92" i="3" s="1"/>
  <c r="Q91" i="3"/>
  <c r="P91" i="3"/>
  <c r="O91" i="3"/>
  <c r="N91" i="3"/>
  <c r="M91" i="3"/>
  <c r="L91" i="3"/>
  <c r="K91" i="3"/>
  <c r="I91" i="3" s="1"/>
  <c r="Q90" i="3"/>
  <c r="P90" i="3"/>
  <c r="O90" i="3"/>
  <c r="N90" i="3"/>
  <c r="M90" i="3"/>
  <c r="L90" i="3"/>
  <c r="K90" i="3"/>
  <c r="J90" i="3" s="1"/>
  <c r="Q89" i="3"/>
  <c r="P89" i="3"/>
  <c r="O89" i="3"/>
  <c r="N89" i="3"/>
  <c r="M89" i="3"/>
  <c r="L89" i="3"/>
  <c r="K89" i="3"/>
  <c r="J89" i="3" s="1"/>
  <c r="Q88" i="3"/>
  <c r="P88" i="3"/>
  <c r="O88" i="3"/>
  <c r="N88" i="3"/>
  <c r="M88" i="3"/>
  <c r="L88" i="3"/>
  <c r="K88" i="3"/>
  <c r="J88" i="3" s="1"/>
  <c r="Q87" i="3"/>
  <c r="P87" i="3"/>
  <c r="O87" i="3"/>
  <c r="N87" i="3"/>
  <c r="M87" i="3"/>
  <c r="L87" i="3"/>
  <c r="K87" i="3"/>
  <c r="I87" i="3" s="1"/>
  <c r="Q86" i="3"/>
  <c r="P86" i="3"/>
  <c r="O86" i="3"/>
  <c r="N86" i="3"/>
  <c r="M86" i="3"/>
  <c r="L86" i="3"/>
  <c r="K86" i="3"/>
  <c r="J86" i="3" s="1"/>
  <c r="Q85" i="3"/>
  <c r="P85" i="3"/>
  <c r="O85" i="3"/>
  <c r="N85" i="3"/>
  <c r="M85" i="3"/>
  <c r="L85" i="3"/>
  <c r="K85" i="3"/>
  <c r="I85" i="3" s="1"/>
  <c r="Q84" i="3"/>
  <c r="P84" i="3"/>
  <c r="O84" i="3"/>
  <c r="N84" i="3"/>
  <c r="M84" i="3"/>
  <c r="L84" i="3"/>
  <c r="K84" i="3"/>
  <c r="I84" i="3" s="1"/>
  <c r="Q83" i="3"/>
  <c r="P83" i="3"/>
  <c r="O83" i="3"/>
  <c r="N83" i="3"/>
  <c r="M83" i="3"/>
  <c r="L83" i="3"/>
  <c r="K83" i="3"/>
  <c r="I83" i="3" s="1"/>
  <c r="Q82" i="3"/>
  <c r="P82" i="3"/>
  <c r="O82" i="3"/>
  <c r="N82" i="3"/>
  <c r="M82" i="3"/>
  <c r="L82" i="3"/>
  <c r="K82" i="3"/>
  <c r="Q81" i="3"/>
  <c r="P81" i="3"/>
  <c r="O81" i="3"/>
  <c r="N81" i="3"/>
  <c r="M81" i="3"/>
  <c r="L81" i="3"/>
  <c r="K81" i="3"/>
  <c r="I81" i="3" s="1"/>
  <c r="Q80" i="3"/>
  <c r="P80" i="3"/>
  <c r="O80" i="3"/>
  <c r="N80" i="3"/>
  <c r="M80" i="3"/>
  <c r="L80" i="3"/>
  <c r="K80" i="3"/>
  <c r="I80" i="3" s="1"/>
  <c r="Q79" i="3"/>
  <c r="P79" i="3"/>
  <c r="O79" i="3"/>
  <c r="N79" i="3"/>
  <c r="M79" i="3"/>
  <c r="L79" i="3"/>
  <c r="K79" i="3"/>
  <c r="I79" i="3" s="1"/>
  <c r="Q78" i="3"/>
  <c r="P78" i="3"/>
  <c r="O78" i="3"/>
  <c r="N78" i="3"/>
  <c r="M78" i="3"/>
  <c r="L78" i="3"/>
  <c r="K78" i="3"/>
  <c r="J78" i="3" s="1"/>
  <c r="Q77" i="3"/>
  <c r="P77" i="3"/>
  <c r="O77" i="3"/>
  <c r="N77" i="3"/>
  <c r="M77" i="3"/>
  <c r="L77" i="3"/>
  <c r="K77" i="3"/>
  <c r="I77" i="3" s="1"/>
  <c r="Q76" i="3"/>
  <c r="P76" i="3"/>
  <c r="O76" i="3"/>
  <c r="N76" i="3"/>
  <c r="M76" i="3"/>
  <c r="L76" i="3"/>
  <c r="K76" i="3"/>
  <c r="I76" i="3" s="1"/>
  <c r="Q75" i="3"/>
  <c r="P75" i="3"/>
  <c r="O75" i="3"/>
  <c r="N75" i="3"/>
  <c r="M75" i="3"/>
  <c r="L75" i="3"/>
  <c r="K75" i="3"/>
  <c r="I75" i="3" s="1"/>
  <c r="Q74" i="3"/>
  <c r="P74" i="3"/>
  <c r="O74" i="3"/>
  <c r="N74" i="3"/>
  <c r="M74" i="3"/>
  <c r="L74" i="3"/>
  <c r="K74" i="3"/>
  <c r="J74" i="3" s="1"/>
  <c r="Q73" i="3"/>
  <c r="P73" i="3"/>
  <c r="O73" i="3"/>
  <c r="N73" i="3"/>
  <c r="M73" i="3"/>
  <c r="L73" i="3"/>
  <c r="K73" i="3"/>
  <c r="Q72" i="3"/>
  <c r="P72" i="3"/>
  <c r="O72" i="3"/>
  <c r="N72" i="3"/>
  <c r="M72" i="3"/>
  <c r="L72" i="3"/>
  <c r="K72" i="3"/>
  <c r="I72" i="3" s="1"/>
  <c r="Q71" i="3"/>
  <c r="P71" i="3"/>
  <c r="O71" i="3"/>
  <c r="N71" i="3"/>
  <c r="M71" i="3"/>
  <c r="L71" i="3"/>
  <c r="K71" i="3"/>
  <c r="I71" i="3" s="1"/>
  <c r="Q70" i="3"/>
  <c r="P70" i="3"/>
  <c r="O70" i="3"/>
  <c r="N70" i="3"/>
  <c r="M70" i="3"/>
  <c r="L70" i="3"/>
  <c r="K70" i="3"/>
  <c r="J70" i="3" s="1"/>
  <c r="Q69" i="3"/>
  <c r="P69" i="3"/>
  <c r="O69" i="3"/>
  <c r="N69" i="3"/>
  <c r="M69" i="3"/>
  <c r="L69" i="3"/>
  <c r="K69" i="3"/>
  <c r="J69" i="3" s="1"/>
  <c r="Q68" i="3"/>
  <c r="P68" i="3"/>
  <c r="O68" i="3"/>
  <c r="N68" i="3"/>
  <c r="M68" i="3"/>
  <c r="L68" i="3"/>
  <c r="K68" i="3"/>
  <c r="J68" i="3" s="1"/>
  <c r="Q67" i="3"/>
  <c r="P67" i="3"/>
  <c r="O67" i="3"/>
  <c r="N67" i="3"/>
  <c r="M67" i="3"/>
  <c r="L67" i="3"/>
  <c r="K67" i="3"/>
  <c r="J67" i="3" s="1"/>
  <c r="Q66" i="3"/>
  <c r="P66" i="3"/>
  <c r="O66" i="3"/>
  <c r="N66" i="3"/>
  <c r="M66" i="3"/>
  <c r="L66" i="3"/>
  <c r="K66" i="3"/>
  <c r="J66" i="3" s="1"/>
  <c r="Q65" i="3"/>
  <c r="P65" i="3"/>
  <c r="O65" i="3"/>
  <c r="N65" i="3"/>
  <c r="M65" i="3"/>
  <c r="L65" i="3"/>
  <c r="K65" i="3"/>
  <c r="J65" i="3" s="1"/>
  <c r="Q64" i="3"/>
  <c r="P64" i="3"/>
  <c r="O64" i="3"/>
  <c r="N64" i="3"/>
  <c r="M64" i="3"/>
  <c r="L64" i="3"/>
  <c r="K64" i="3"/>
  <c r="J64" i="3" s="1"/>
  <c r="Q63" i="3"/>
  <c r="P63" i="3"/>
  <c r="O63" i="3"/>
  <c r="N63" i="3"/>
  <c r="M63" i="3"/>
  <c r="L63" i="3"/>
  <c r="K63" i="3"/>
  <c r="I63" i="3" s="1"/>
  <c r="Q62" i="3"/>
  <c r="P62" i="3"/>
  <c r="O62" i="3"/>
  <c r="N62" i="3"/>
  <c r="M62" i="3"/>
  <c r="L62" i="3"/>
  <c r="K62" i="3"/>
  <c r="J62" i="3" s="1"/>
  <c r="Q61" i="3"/>
  <c r="P61" i="3"/>
  <c r="O61" i="3"/>
  <c r="N61" i="3"/>
  <c r="M61" i="3"/>
  <c r="L61" i="3"/>
  <c r="K61" i="3"/>
  <c r="I61" i="3" s="1"/>
  <c r="Q60" i="3"/>
  <c r="P60" i="3"/>
  <c r="O60" i="3"/>
  <c r="N60" i="3"/>
  <c r="M60" i="3"/>
  <c r="L60" i="3"/>
  <c r="K60" i="3"/>
  <c r="I60" i="3" s="1"/>
  <c r="Q59" i="3"/>
  <c r="P59" i="3"/>
  <c r="O59" i="3"/>
  <c r="N59" i="3"/>
  <c r="M59" i="3"/>
  <c r="L59" i="3"/>
  <c r="K59" i="3"/>
  <c r="I59" i="3" s="1"/>
  <c r="Q58" i="3"/>
  <c r="P58" i="3"/>
  <c r="O58" i="3"/>
  <c r="N58" i="3"/>
  <c r="M58" i="3"/>
  <c r="L58" i="3"/>
  <c r="K58" i="3"/>
  <c r="J58" i="3" s="1"/>
  <c r="Q57" i="3"/>
  <c r="P57" i="3"/>
  <c r="O57" i="3"/>
  <c r="N57" i="3"/>
  <c r="M57" i="3"/>
  <c r="L57" i="3"/>
  <c r="K57" i="3"/>
  <c r="J57" i="3" s="1"/>
  <c r="Q56" i="3"/>
  <c r="P56" i="3"/>
  <c r="O56" i="3"/>
  <c r="N56" i="3"/>
  <c r="M56" i="3"/>
  <c r="L56" i="3"/>
  <c r="K56" i="3"/>
  <c r="J56" i="3" s="1"/>
  <c r="Q55" i="3"/>
  <c r="P55" i="3"/>
  <c r="O55" i="3"/>
  <c r="N55" i="3"/>
  <c r="M55" i="3"/>
  <c r="L55" i="3"/>
  <c r="K55" i="3"/>
  <c r="Q54" i="3"/>
  <c r="P54" i="3"/>
  <c r="O54" i="3"/>
  <c r="N54" i="3"/>
  <c r="M54" i="3"/>
  <c r="L54" i="3"/>
  <c r="K54" i="3"/>
  <c r="I54" i="3" s="1"/>
  <c r="Q53" i="3"/>
  <c r="P53" i="3"/>
  <c r="O53" i="3"/>
  <c r="N53" i="3"/>
  <c r="M53" i="3"/>
  <c r="L53" i="3"/>
  <c r="K53" i="3"/>
  <c r="J53" i="3" s="1"/>
  <c r="Q52" i="3"/>
  <c r="P52" i="3"/>
  <c r="O52" i="3"/>
  <c r="N52" i="3"/>
  <c r="M52" i="3"/>
  <c r="L52" i="3"/>
  <c r="K52" i="3"/>
  <c r="J52" i="3" s="1"/>
  <c r="Q51" i="3"/>
  <c r="P51" i="3"/>
  <c r="O51" i="3"/>
  <c r="N51" i="3"/>
  <c r="M51" i="3"/>
  <c r="L51" i="3"/>
  <c r="K51" i="3"/>
  <c r="I51" i="3" s="1"/>
  <c r="Q50" i="3"/>
  <c r="P50" i="3"/>
  <c r="O50" i="3"/>
  <c r="N50" i="3"/>
  <c r="M50" i="3"/>
  <c r="L50" i="3"/>
  <c r="K50" i="3"/>
  <c r="I50" i="3" s="1"/>
  <c r="Q49" i="3"/>
  <c r="P49" i="3"/>
  <c r="O49" i="3"/>
  <c r="N49" i="3"/>
  <c r="M49" i="3"/>
  <c r="L49" i="3"/>
  <c r="K49" i="3"/>
  <c r="J49" i="3" s="1"/>
  <c r="Q48" i="3"/>
  <c r="P48" i="3"/>
  <c r="O48" i="3"/>
  <c r="N48" i="3"/>
  <c r="M48" i="3"/>
  <c r="L48" i="3"/>
  <c r="K48" i="3"/>
  <c r="J48" i="3" s="1"/>
  <c r="Q47" i="3"/>
  <c r="P47" i="3"/>
  <c r="O47" i="3"/>
  <c r="N47" i="3"/>
  <c r="M47" i="3"/>
  <c r="L47" i="3"/>
  <c r="K47" i="3"/>
  <c r="I47" i="3" s="1"/>
  <c r="Q46" i="3"/>
  <c r="P46" i="3"/>
  <c r="O46" i="3"/>
  <c r="N46" i="3"/>
  <c r="M46" i="3"/>
  <c r="L46" i="3"/>
  <c r="K46" i="3"/>
  <c r="I46" i="3" s="1"/>
  <c r="Q45" i="3"/>
  <c r="P45" i="3"/>
  <c r="O45" i="3"/>
  <c r="N45" i="3"/>
  <c r="M45" i="3"/>
  <c r="L45" i="3"/>
  <c r="K45" i="3"/>
  <c r="J45" i="3" s="1"/>
  <c r="Q44" i="3"/>
  <c r="P44" i="3"/>
  <c r="O44" i="3"/>
  <c r="N44" i="3"/>
  <c r="M44" i="3"/>
  <c r="L44" i="3"/>
  <c r="K44" i="3"/>
  <c r="J44" i="3" s="1"/>
  <c r="Q43" i="3"/>
  <c r="P43" i="3"/>
  <c r="O43" i="3"/>
  <c r="N43" i="3"/>
  <c r="M43" i="3"/>
  <c r="L43" i="3"/>
  <c r="K43" i="3"/>
  <c r="I43" i="3" s="1"/>
  <c r="Q42" i="3"/>
  <c r="P42" i="3"/>
  <c r="O42" i="3"/>
  <c r="N42" i="3"/>
  <c r="M42" i="3"/>
  <c r="L42" i="3"/>
  <c r="K42" i="3"/>
  <c r="I42" i="3" s="1"/>
  <c r="Q41" i="3"/>
  <c r="P41" i="3"/>
  <c r="O41" i="3"/>
  <c r="N41" i="3"/>
  <c r="M41" i="3"/>
  <c r="L41" i="3"/>
  <c r="K41" i="3"/>
  <c r="J41" i="3" s="1"/>
  <c r="Q40" i="3"/>
  <c r="P40" i="3"/>
  <c r="O40" i="3"/>
  <c r="N40" i="3"/>
  <c r="M40" i="3"/>
  <c r="L40" i="3"/>
  <c r="K40" i="3"/>
  <c r="J40" i="3" s="1"/>
  <c r="Q39" i="3"/>
  <c r="P39" i="3"/>
  <c r="O39" i="3"/>
  <c r="N39" i="3"/>
  <c r="M39" i="3"/>
  <c r="L39" i="3"/>
  <c r="K39" i="3"/>
  <c r="I39" i="3" s="1"/>
  <c r="Q38" i="3"/>
  <c r="P38" i="3"/>
  <c r="O38" i="3"/>
  <c r="N38" i="3"/>
  <c r="M38" i="3"/>
  <c r="L38" i="3"/>
  <c r="K38" i="3"/>
  <c r="I38" i="3" s="1"/>
  <c r="Q37" i="3"/>
  <c r="P37" i="3"/>
  <c r="O37" i="3"/>
  <c r="N37" i="3"/>
  <c r="M37" i="3"/>
  <c r="L37" i="3"/>
  <c r="K37" i="3"/>
  <c r="I37" i="3" s="1"/>
  <c r="Q36" i="3"/>
  <c r="P36" i="3"/>
  <c r="O36" i="3"/>
  <c r="N36" i="3"/>
  <c r="M36" i="3"/>
  <c r="L36" i="3"/>
  <c r="K36" i="3"/>
  <c r="I36" i="3" s="1"/>
  <c r="Q35" i="3"/>
  <c r="P35" i="3"/>
  <c r="O35" i="3"/>
  <c r="N35" i="3"/>
  <c r="M35" i="3"/>
  <c r="L35" i="3"/>
  <c r="K35" i="3"/>
  <c r="J35" i="3" s="1"/>
  <c r="Q34" i="3"/>
  <c r="P34" i="3"/>
  <c r="O34" i="3"/>
  <c r="N34" i="3"/>
  <c r="M34" i="3"/>
  <c r="L34" i="3"/>
  <c r="K34" i="3"/>
  <c r="I34" i="3" s="1"/>
  <c r="Q33" i="3"/>
  <c r="P33" i="3"/>
  <c r="O33" i="3"/>
  <c r="N33" i="3"/>
  <c r="M33" i="3"/>
  <c r="L33" i="3"/>
  <c r="K33" i="3"/>
  <c r="J33" i="3" s="1"/>
  <c r="Q32" i="3"/>
  <c r="P32" i="3"/>
  <c r="O32" i="3"/>
  <c r="N32" i="3"/>
  <c r="M32" i="3"/>
  <c r="L32" i="3"/>
  <c r="K32" i="3"/>
  <c r="Q31" i="3"/>
  <c r="P31" i="3"/>
  <c r="O31" i="3"/>
  <c r="N31" i="3"/>
  <c r="M31" i="3"/>
  <c r="L31" i="3"/>
  <c r="K31" i="3"/>
  <c r="J31" i="3" s="1"/>
  <c r="Q30" i="3"/>
  <c r="P30" i="3"/>
  <c r="O30" i="3"/>
  <c r="N30" i="3"/>
  <c r="M30" i="3"/>
  <c r="L30" i="3"/>
  <c r="K30" i="3"/>
  <c r="I30" i="3" s="1"/>
  <c r="Q29" i="3"/>
  <c r="P29" i="3"/>
  <c r="O29" i="3"/>
  <c r="N29" i="3"/>
  <c r="M29" i="3"/>
  <c r="L29" i="3"/>
  <c r="K29" i="3"/>
  <c r="I29" i="3" s="1"/>
  <c r="Q28" i="3"/>
  <c r="P28" i="3"/>
  <c r="O28" i="3"/>
  <c r="N28" i="3"/>
  <c r="M28" i="3"/>
  <c r="L28" i="3"/>
  <c r="K28" i="3"/>
  <c r="I28" i="3" s="1"/>
  <c r="Q27" i="3"/>
  <c r="P27" i="3"/>
  <c r="O27" i="3"/>
  <c r="N27" i="3"/>
  <c r="M27" i="3"/>
  <c r="L27" i="3"/>
  <c r="K27" i="3"/>
  <c r="J27" i="3" s="1"/>
  <c r="Q26" i="3"/>
  <c r="P26" i="3"/>
  <c r="O26" i="3"/>
  <c r="N26" i="3"/>
  <c r="M26" i="3"/>
  <c r="L26" i="3"/>
  <c r="K26" i="3"/>
  <c r="I26" i="3" s="1"/>
  <c r="Q25" i="3"/>
  <c r="P25" i="3"/>
  <c r="O25" i="3"/>
  <c r="N25" i="3"/>
  <c r="M25" i="3"/>
  <c r="L25" i="3"/>
  <c r="K25" i="3"/>
  <c r="J25" i="3" s="1"/>
  <c r="Q24" i="3"/>
  <c r="P24" i="3"/>
  <c r="O24" i="3"/>
  <c r="N24" i="3"/>
  <c r="M24" i="3"/>
  <c r="L24" i="3"/>
  <c r="K24" i="3"/>
  <c r="J24" i="3" s="1"/>
  <c r="Q23" i="3"/>
  <c r="P23" i="3"/>
  <c r="O23" i="3"/>
  <c r="N23" i="3"/>
  <c r="M23" i="3"/>
  <c r="L23" i="3"/>
  <c r="K23" i="3"/>
  <c r="J23" i="3" s="1"/>
  <c r="Q22" i="3"/>
  <c r="P22" i="3"/>
  <c r="O22" i="3"/>
  <c r="N22" i="3"/>
  <c r="M22" i="3"/>
  <c r="L22" i="3"/>
  <c r="K22" i="3"/>
  <c r="I22" i="3" s="1"/>
  <c r="Q21" i="3"/>
  <c r="P21" i="3"/>
  <c r="O21" i="3"/>
  <c r="N21" i="3"/>
  <c r="M21" i="3"/>
  <c r="L21" i="3"/>
  <c r="K21" i="3"/>
  <c r="J21" i="3" s="1"/>
  <c r="Q20" i="3"/>
  <c r="P20" i="3"/>
  <c r="O20" i="3"/>
  <c r="N20" i="3"/>
  <c r="M20" i="3"/>
  <c r="L20" i="3"/>
  <c r="K20" i="3"/>
  <c r="J20" i="3" s="1"/>
  <c r="Q19" i="3"/>
  <c r="P19" i="3"/>
  <c r="O19" i="3"/>
  <c r="N19" i="3"/>
  <c r="M19" i="3"/>
  <c r="L19" i="3"/>
  <c r="K19" i="3"/>
  <c r="J19" i="3" s="1"/>
  <c r="Q18" i="3"/>
  <c r="P18" i="3"/>
  <c r="O18" i="3"/>
  <c r="N18" i="3"/>
  <c r="M18" i="3"/>
  <c r="L18" i="3"/>
  <c r="K18" i="3"/>
  <c r="J18" i="3" s="1"/>
  <c r="Q17" i="3"/>
  <c r="P17" i="3"/>
  <c r="O17" i="3"/>
  <c r="N17" i="3"/>
  <c r="M17" i="3"/>
  <c r="L17" i="3"/>
  <c r="K17" i="3"/>
  <c r="I17" i="3" s="1"/>
  <c r="Q16" i="3"/>
  <c r="P16" i="3"/>
  <c r="O16" i="3"/>
  <c r="N16" i="3"/>
  <c r="M16" i="3"/>
  <c r="L16" i="3"/>
  <c r="K16" i="3"/>
  <c r="I16" i="3" s="1"/>
  <c r="Q15" i="3"/>
  <c r="P15" i="3"/>
  <c r="O15" i="3"/>
  <c r="N15" i="3"/>
  <c r="M15" i="3"/>
  <c r="L15" i="3"/>
  <c r="K15" i="3"/>
  <c r="J15" i="3" s="1"/>
  <c r="Q14" i="3"/>
  <c r="P14" i="3"/>
  <c r="O14" i="3"/>
  <c r="N14" i="3"/>
  <c r="M14" i="3"/>
  <c r="L14" i="3"/>
  <c r="K14" i="3"/>
  <c r="Q13" i="3"/>
  <c r="P13" i="3"/>
  <c r="O13" i="3"/>
  <c r="N13" i="3"/>
  <c r="M13" i="3"/>
  <c r="L13" i="3"/>
  <c r="K13" i="3"/>
  <c r="J13" i="3" s="1"/>
  <c r="Q12" i="3"/>
  <c r="P12" i="3"/>
  <c r="O12" i="3"/>
  <c r="N12" i="3"/>
  <c r="M12" i="3"/>
  <c r="L12" i="3"/>
  <c r="K12" i="3"/>
  <c r="J12" i="3" s="1"/>
  <c r="Q11" i="3"/>
  <c r="P11" i="3"/>
  <c r="O11" i="3"/>
  <c r="N11" i="3"/>
  <c r="M11" i="3"/>
  <c r="L11" i="3"/>
  <c r="K11" i="3"/>
  <c r="J11" i="3" s="1"/>
  <c r="Q10" i="3"/>
  <c r="P10" i="3"/>
  <c r="O10" i="3"/>
  <c r="N10" i="3"/>
  <c r="M10" i="3"/>
  <c r="L10" i="3"/>
  <c r="K10" i="3"/>
  <c r="I10" i="3" s="1"/>
  <c r="Q9" i="3"/>
  <c r="P9" i="3"/>
  <c r="O9" i="3"/>
  <c r="N9" i="3"/>
  <c r="M9" i="3"/>
  <c r="L9" i="3"/>
  <c r="K9" i="3"/>
  <c r="J9" i="3" s="1"/>
  <c r="Q8" i="3"/>
  <c r="P8" i="3"/>
  <c r="O8" i="3"/>
  <c r="N8" i="3"/>
  <c r="M8" i="3"/>
  <c r="L8" i="3"/>
  <c r="K8" i="3"/>
  <c r="J8" i="3" s="1"/>
  <c r="Q7" i="3"/>
  <c r="P7" i="3"/>
  <c r="O7" i="3"/>
  <c r="N7" i="3"/>
  <c r="M7" i="3"/>
  <c r="L7" i="3"/>
  <c r="K7" i="3"/>
  <c r="I7" i="3" s="1"/>
  <c r="Q6" i="3"/>
  <c r="P6" i="3"/>
  <c r="O6" i="3"/>
  <c r="N6" i="3"/>
  <c r="M6" i="3"/>
  <c r="L6" i="3"/>
  <c r="K6" i="3"/>
  <c r="I6" i="3" s="1"/>
  <c r="Q5" i="3"/>
  <c r="P5" i="3"/>
  <c r="O5" i="3"/>
  <c r="N5" i="3"/>
  <c r="M5" i="3"/>
  <c r="L5" i="3"/>
  <c r="K5" i="3"/>
  <c r="I5" i="3" s="1"/>
  <c r="Q4" i="3"/>
  <c r="P4" i="3"/>
  <c r="O4" i="3"/>
  <c r="N4" i="3"/>
  <c r="M4" i="3"/>
  <c r="L4" i="3"/>
  <c r="K4" i="3"/>
  <c r="J325" i="3" l="1"/>
  <c r="I190" i="3"/>
  <c r="J297" i="3"/>
  <c r="I340" i="3"/>
  <c r="J317" i="3"/>
  <c r="J341" i="3"/>
  <c r="I198" i="3"/>
  <c r="I332" i="3"/>
  <c r="I314" i="3"/>
  <c r="I344" i="3"/>
  <c r="J349" i="3"/>
  <c r="J309" i="3"/>
  <c r="J202" i="3"/>
  <c r="I154" i="3"/>
  <c r="J345" i="3"/>
  <c r="J293" i="3"/>
  <c r="J281" i="3"/>
  <c r="J273" i="3"/>
  <c r="J329" i="3"/>
  <c r="J289" i="3"/>
  <c r="J269" i="3"/>
  <c r="J261" i="3"/>
  <c r="J249" i="3"/>
  <c r="J337" i="3"/>
  <c r="J301" i="3"/>
  <c r="J321" i="3"/>
  <c r="J265" i="3"/>
  <c r="J333" i="3"/>
  <c r="I286" i="3"/>
  <c r="I246" i="3"/>
  <c r="I320" i="3"/>
  <c r="J226" i="3"/>
  <c r="I142" i="3"/>
  <c r="I322" i="3"/>
  <c r="I294" i="3"/>
  <c r="I172" i="3"/>
  <c r="I264" i="3"/>
  <c r="I352" i="3"/>
  <c r="I336" i="3"/>
  <c r="I328" i="3"/>
  <c r="I324" i="3"/>
  <c r="I262" i="3"/>
  <c r="J250" i="3"/>
  <c r="I310" i="3"/>
  <c r="I182" i="3"/>
  <c r="J278" i="3"/>
  <c r="I170" i="3"/>
  <c r="I222" i="3"/>
  <c r="I350" i="3"/>
  <c r="I162" i="3"/>
  <c r="I306" i="3"/>
  <c r="I98" i="3"/>
  <c r="I150" i="3"/>
  <c r="I70" i="3"/>
  <c r="I206" i="3"/>
  <c r="I214" i="3"/>
  <c r="I126" i="3"/>
  <c r="I254" i="3"/>
  <c r="I130" i="3"/>
  <c r="J22" i="3"/>
  <c r="J258" i="3"/>
  <c r="J210" i="3"/>
  <c r="I58" i="3"/>
  <c r="I118" i="3"/>
  <c r="J334" i="3"/>
  <c r="I166" i="3"/>
  <c r="I122" i="3"/>
  <c r="I298" i="3"/>
  <c r="J218" i="3"/>
  <c r="I230" i="3"/>
  <c r="I326" i="3"/>
  <c r="J194" i="3"/>
  <c r="J123" i="3"/>
  <c r="J107" i="3"/>
  <c r="J7" i="3"/>
  <c r="J155" i="3"/>
  <c r="J167" i="3"/>
  <c r="J87" i="3"/>
  <c r="J151" i="3"/>
  <c r="J47" i="3"/>
  <c r="J127" i="3"/>
  <c r="I263" i="3"/>
  <c r="J91" i="3"/>
  <c r="J75" i="3"/>
  <c r="I67" i="3"/>
  <c r="J139" i="3"/>
  <c r="I211" i="3"/>
  <c r="I35" i="3"/>
  <c r="J119" i="3"/>
  <c r="J175" i="3"/>
  <c r="J131" i="3"/>
  <c r="J43" i="3"/>
  <c r="J163" i="3"/>
  <c r="J103" i="3"/>
  <c r="J71" i="3"/>
  <c r="J171" i="3"/>
  <c r="J111" i="3"/>
  <c r="J99" i="3"/>
  <c r="I15" i="3"/>
  <c r="I259" i="3"/>
  <c r="I27" i="3"/>
  <c r="J115" i="3"/>
  <c r="J84" i="3"/>
  <c r="I136" i="3"/>
  <c r="J36" i="3"/>
  <c r="I260" i="3"/>
  <c r="J257" i="3"/>
  <c r="J105" i="3"/>
  <c r="I346" i="3"/>
  <c r="I318" i="3"/>
  <c r="J34" i="3"/>
  <c r="J193" i="3"/>
  <c r="J60" i="3"/>
  <c r="I302" i="3"/>
  <c r="I100" i="3"/>
  <c r="J201" i="3"/>
  <c r="I282" i="3"/>
  <c r="J197" i="3"/>
  <c r="J85" i="3"/>
  <c r="J290" i="3"/>
  <c r="I20" i="3"/>
  <c r="J26" i="3"/>
  <c r="J221" i="3"/>
  <c r="I49" i="3"/>
  <c r="J253" i="3"/>
  <c r="I97" i="3"/>
  <c r="I330" i="3"/>
  <c r="J217" i="3"/>
  <c r="J164" i="3"/>
  <c r="I315" i="3"/>
  <c r="I176" i="3"/>
  <c r="J181" i="3"/>
  <c r="I157" i="3"/>
  <c r="I140" i="3"/>
  <c r="I108" i="3"/>
  <c r="I180" i="3"/>
  <c r="I148" i="3"/>
  <c r="I68" i="3"/>
  <c r="I53" i="3"/>
  <c r="J132" i="3"/>
  <c r="I207" i="3"/>
  <c r="I191" i="3"/>
  <c r="I168" i="3"/>
  <c r="I112" i="3"/>
  <c r="I19" i="3"/>
  <c r="I235" i="3"/>
  <c r="I331" i="3"/>
  <c r="J185" i="3"/>
  <c r="I69" i="3"/>
  <c r="I120" i="3"/>
  <c r="J323" i="3"/>
  <c r="I251" i="3"/>
  <c r="I156" i="3"/>
  <c r="I116" i="3"/>
  <c r="J17" i="3"/>
  <c r="I255" i="3"/>
  <c r="I203" i="3"/>
  <c r="J189" i="3"/>
  <c r="I104" i="3"/>
  <c r="I44" i="3"/>
  <c r="J283" i="3"/>
  <c r="I160" i="3"/>
  <c r="I96" i="3"/>
  <c r="I327" i="3"/>
  <c r="I184" i="3"/>
  <c r="I299" i="3"/>
  <c r="I279" i="3"/>
  <c r="J128" i="3"/>
  <c r="I195" i="3"/>
  <c r="J219" i="3"/>
  <c r="J92" i="3"/>
  <c r="I319" i="3"/>
  <c r="I291" i="3"/>
  <c r="I199" i="3"/>
  <c r="I188" i="3"/>
  <c r="I144" i="3"/>
  <c r="J80" i="3"/>
  <c r="I40" i="3"/>
  <c r="J295" i="3"/>
  <c r="J247" i="3"/>
  <c r="I187" i="3"/>
  <c r="I152" i="3"/>
  <c r="I88" i="3"/>
  <c r="I186" i="3"/>
  <c r="J243" i="3"/>
  <c r="J183" i="3"/>
  <c r="I215" i="3"/>
  <c r="I223" i="3"/>
  <c r="I18" i="3"/>
  <c r="I256" i="3"/>
  <c r="J29" i="3"/>
  <c r="J63" i="3"/>
  <c r="I41" i="3"/>
  <c r="I21" i="3"/>
  <c r="J81" i="3"/>
  <c r="J77" i="3"/>
  <c r="I89" i="3"/>
  <c r="I65" i="3"/>
  <c r="I121" i="3"/>
  <c r="J117" i="3"/>
  <c r="I62" i="3"/>
  <c r="I25" i="3"/>
  <c r="I276" i="3"/>
  <c r="I64" i="3"/>
  <c r="I232" i="3"/>
  <c r="I161" i="3"/>
  <c r="I66" i="3"/>
  <c r="J50" i="3"/>
  <c r="I33" i="3"/>
  <c r="I308" i="3"/>
  <c r="I252" i="3"/>
  <c r="I45" i="3"/>
  <c r="I216" i="3"/>
  <c r="I52" i="3"/>
  <c r="I284" i="3"/>
  <c r="J51" i="3"/>
  <c r="I304" i="3"/>
  <c r="I101" i="3"/>
  <c r="J61" i="3"/>
  <c r="I292" i="3"/>
  <c r="I240" i="3"/>
  <c r="I86" i="3"/>
  <c r="I248" i="3"/>
  <c r="I153" i="3"/>
  <c r="J169" i="3"/>
  <c r="I12" i="3"/>
  <c r="I78" i="3"/>
  <c r="I316" i="3"/>
  <c r="I196" i="3"/>
  <c r="I102" i="3"/>
  <c r="I90" i="3"/>
  <c r="I106" i="3"/>
  <c r="I74" i="3"/>
  <c r="I8" i="3"/>
  <c r="J145" i="3"/>
  <c r="I31" i="3"/>
  <c r="J149" i="3"/>
  <c r="I300" i="3"/>
  <c r="I220" i="3"/>
  <c r="I192" i="3"/>
  <c r="J46" i="3"/>
  <c r="I224" i="3"/>
  <c r="I288" i="3"/>
  <c r="I268" i="3"/>
  <c r="I200" i="3"/>
  <c r="I296" i="3"/>
  <c r="I272" i="3"/>
  <c r="I236" i="3"/>
  <c r="J141" i="3"/>
  <c r="I244" i="3"/>
  <c r="I165" i="3"/>
  <c r="I57" i="3"/>
  <c r="I4" i="3"/>
  <c r="J76" i="3"/>
  <c r="J30" i="3"/>
  <c r="J42" i="3"/>
  <c r="I225" i="3"/>
  <c r="I204" i="3"/>
  <c r="I11" i="3"/>
  <c r="J147" i="3"/>
  <c r="J79" i="3"/>
  <c r="J37" i="3"/>
  <c r="I48" i="3"/>
  <c r="J233" i="3"/>
  <c r="J10" i="3"/>
  <c r="I231" i="3"/>
  <c r="J227" i="3"/>
  <c r="J133" i="3"/>
  <c r="J134" i="3"/>
  <c r="I135" i="3"/>
  <c r="I137" i="3"/>
  <c r="J138" i="3"/>
  <c r="J228" i="3"/>
  <c r="I229" i="3"/>
  <c r="J280" i="3"/>
  <c r="I285" i="3"/>
  <c r="I287" i="3"/>
  <c r="I266" i="3"/>
  <c r="I124" i="3"/>
  <c r="I9" i="3"/>
  <c r="I270" i="3"/>
  <c r="J39" i="3"/>
  <c r="J28" i="3"/>
  <c r="J59" i="3"/>
  <c r="J72" i="3"/>
  <c r="I23" i="3"/>
  <c r="J173" i="3"/>
  <c r="I73" i="3"/>
  <c r="J73" i="3"/>
  <c r="I205" i="3"/>
  <c r="J205" i="3"/>
  <c r="J275" i="3"/>
  <c r="I275" i="3"/>
  <c r="I125" i="3"/>
  <c r="I213" i="3"/>
  <c r="J213" i="3"/>
  <c r="J351" i="3"/>
  <c r="I351" i="3"/>
  <c r="I312" i="3"/>
  <c r="I109" i="3"/>
  <c r="J109" i="3"/>
  <c r="J274" i="3"/>
  <c r="I274" i="3"/>
  <c r="J311" i="3"/>
  <c r="I311" i="3"/>
  <c r="J143" i="3"/>
  <c r="J95" i="3"/>
  <c r="I267" i="3"/>
  <c r="I114" i="3"/>
  <c r="J83" i="3"/>
  <c r="I56" i="3"/>
  <c r="J38" i="3"/>
  <c r="I238" i="3"/>
  <c r="J177" i="3"/>
  <c r="J113" i="3"/>
  <c r="I307" i="3"/>
  <c r="I212" i="3"/>
  <c r="J82" i="3"/>
  <c r="I82" i="3"/>
  <c r="J93" i="3"/>
  <c r="I93" i="3"/>
  <c r="J146" i="3"/>
  <c r="I146" i="3"/>
  <c r="I277" i="3"/>
  <c r="J277" i="3"/>
  <c r="J129" i="3"/>
  <c r="I129" i="3"/>
  <c r="I271" i="3"/>
  <c r="J271" i="3"/>
  <c r="J339" i="3"/>
  <c r="I339" i="3"/>
  <c r="J347" i="3"/>
  <c r="I347" i="3"/>
  <c r="I178" i="3"/>
  <c r="I55" i="3"/>
  <c r="J55" i="3"/>
  <c r="I241" i="3"/>
  <c r="J241" i="3"/>
  <c r="I13" i="3"/>
  <c r="J159" i="3"/>
  <c r="I234" i="3"/>
  <c r="J209" i="3"/>
  <c r="I338" i="3"/>
  <c r="J16" i="3"/>
  <c r="I174" i="3"/>
  <c r="I158" i="3"/>
  <c r="I110" i="3"/>
  <c r="I94" i="3"/>
  <c r="J5" i="3"/>
  <c r="I208" i="3"/>
  <c r="I343" i="3"/>
  <c r="I242" i="3"/>
  <c r="J6" i="3"/>
  <c r="J237" i="3"/>
  <c r="I342" i="3"/>
  <c r="I24" i="3"/>
  <c r="I335" i="3"/>
  <c r="J245" i="3"/>
  <c r="I303" i="3"/>
  <c r="J54" i="3"/>
  <c r="J4" i="3"/>
  <c r="I14" i="3"/>
  <c r="J14" i="3"/>
  <c r="I32" i="3"/>
  <c r="J32" i="3"/>
  <c r="I179" i="3"/>
  <c r="J179" i="3"/>
  <c r="J239" i="3"/>
  <c r="I239" i="3"/>
  <c r="I305" i="3"/>
  <c r="J305" i="3"/>
  <c r="I313" i="3"/>
  <c r="J313" i="3"/>
  <c r="J348" i="3"/>
  <c r="I348" i="3"/>
</calcChain>
</file>

<file path=xl/sharedStrings.xml><?xml version="1.0" encoding="utf-8"?>
<sst xmlns="http://schemas.openxmlformats.org/spreadsheetml/2006/main" count="1607" uniqueCount="572">
  <si>
    <t>Category</t>
  </si>
  <si>
    <t>Abbreviation</t>
  </si>
  <si>
    <t xml:space="preserve">Medium </t>
  </si>
  <si>
    <t>Endemic</t>
  </si>
  <si>
    <t>Source</t>
  </si>
  <si>
    <t>zillow.com</t>
  </si>
  <si>
    <t>Division</t>
  </si>
  <si>
    <t>Charlotte</t>
  </si>
  <si>
    <t>Region</t>
  </si>
  <si>
    <t>charlotte</t>
  </si>
  <si>
    <t>Content</t>
  </si>
  <si>
    <t>Pulte</t>
  </si>
  <si>
    <t>Community ID</t>
  </si>
  <si>
    <t>Campaign</t>
  </si>
  <si>
    <t>Awareness</t>
  </si>
  <si>
    <t>Vendor</t>
  </si>
  <si>
    <t>Assembly</t>
  </si>
  <si>
    <t>Image</t>
  </si>
  <si>
    <t>Exterior</t>
  </si>
  <si>
    <t>Term (Free Form)</t>
  </si>
  <si>
    <t>&lt;-------</t>
  </si>
  <si>
    <t>Abbreviation &lt; 8 characters</t>
  </si>
  <si>
    <t>URL Tracking Code</t>
  </si>
  <si>
    <t>Medium</t>
  </si>
  <si>
    <t xml:space="preserve">Region
</t>
  </si>
  <si>
    <t>Content
Brand Plus Community Code Where Applicable</t>
  </si>
  <si>
    <t>Campaign
 What was the broad purpose of the email?</t>
  </si>
  <si>
    <t xml:space="preserve">Image
</t>
  </si>
  <si>
    <t>Term
Free form
Abbreviation: 8 characters or less
Only for Promo or Offer</t>
  </si>
  <si>
    <t>Value</t>
  </si>
  <si>
    <t>Category Example</t>
  </si>
  <si>
    <t>Abbreviation Example</t>
  </si>
  <si>
    <t>Choose Value</t>
  </si>
  <si>
    <t>NA-_-</t>
  </si>
  <si>
    <t>NA</t>
  </si>
  <si>
    <t>Social Paid</t>
  </si>
  <si>
    <t>SOCP-_-</t>
  </si>
  <si>
    <t>facebook.com</t>
  </si>
  <si>
    <t>FB-_-</t>
  </si>
  <si>
    <t>Arizona</t>
  </si>
  <si>
    <t>ARZ-_-</t>
  </si>
  <si>
    <t>Market Wide</t>
  </si>
  <si>
    <t>MKTW-_-</t>
  </si>
  <si>
    <t>PUL</t>
  </si>
  <si>
    <t>Promotion (inclusive of Incentives)</t>
  </si>
  <si>
    <t>PROMO-_-</t>
  </si>
  <si>
    <t>FullScreen</t>
  </si>
  <si>
    <t>FS-_-</t>
  </si>
  <si>
    <t>360 Video</t>
  </si>
  <si>
    <t>360-_-</t>
  </si>
  <si>
    <t>$10k Off</t>
  </si>
  <si>
    <t>10kOff-_-</t>
  </si>
  <si>
    <t>Programmatic</t>
  </si>
  <si>
    <t>PROG-_-</t>
  </si>
  <si>
    <t>instagram.com</t>
  </si>
  <si>
    <t>IG-_-</t>
  </si>
  <si>
    <t>Austin</t>
  </si>
  <si>
    <t>AUS-_-</t>
  </si>
  <si>
    <t>albuquerque</t>
  </si>
  <si>
    <t>ALB-_-</t>
  </si>
  <si>
    <t>Pulte Market Wide</t>
  </si>
  <si>
    <t>PULMKT</t>
  </si>
  <si>
    <t>AW-_-</t>
  </si>
  <si>
    <t>N2NSites</t>
  </si>
  <si>
    <t>N2N-_-</t>
  </si>
  <si>
    <t>Amenity</t>
  </si>
  <si>
    <t>AMN-_-</t>
  </si>
  <si>
    <t>Options Bonus</t>
  </si>
  <si>
    <t>OpBonus-_-</t>
  </si>
  <si>
    <t>END-_-</t>
  </si>
  <si>
    <t>pinterest.com</t>
  </si>
  <si>
    <t>PN-_-</t>
  </si>
  <si>
    <t>Central Florida</t>
  </si>
  <si>
    <t>CFL-_-</t>
  </si>
  <si>
    <t>atlanta</t>
  </si>
  <si>
    <t>ATL-_-</t>
  </si>
  <si>
    <t>Centex</t>
  </si>
  <si>
    <t>CEN</t>
  </si>
  <si>
    <t>Grand Opening (inclusive of all openings)</t>
  </si>
  <si>
    <t>GOP-_-</t>
  </si>
  <si>
    <t>ASM-_-</t>
  </si>
  <si>
    <t>Backyard</t>
  </si>
  <si>
    <t>BYD-_-</t>
  </si>
  <si>
    <t>FreeApp</t>
  </si>
  <si>
    <t>FrApp-_-</t>
  </si>
  <si>
    <t>Branded Paid Search</t>
  </si>
  <si>
    <t>BPS-_-</t>
  </si>
  <si>
    <t>twitter.com</t>
  </si>
  <si>
    <t>TW-_-</t>
  </si>
  <si>
    <t>CHA-_-</t>
  </si>
  <si>
    <t>austin</t>
  </si>
  <si>
    <t>Centex Market Wide</t>
  </si>
  <si>
    <t>CENMKT</t>
  </si>
  <si>
    <t>QMI</t>
  </si>
  <si>
    <t>QMI-_-</t>
  </si>
  <si>
    <t>Corporate</t>
  </si>
  <si>
    <t>CORP-_-</t>
  </si>
  <si>
    <t>Carousel</t>
  </si>
  <si>
    <t>CAR-_-</t>
  </si>
  <si>
    <t>XXClosingCost</t>
  </si>
  <si>
    <t>Non Branded Paid Search</t>
  </si>
  <si>
    <t>NBPS-_-</t>
  </si>
  <si>
    <t>ZW-_-</t>
  </si>
  <si>
    <t>Cleveland</t>
  </si>
  <si>
    <t>CLE-_-</t>
  </si>
  <si>
    <t>baltimore</t>
  </si>
  <si>
    <t>BAL-_-</t>
  </si>
  <si>
    <t>Wieland</t>
  </si>
  <si>
    <t>JW</t>
  </si>
  <si>
    <t>Heavy Up</t>
  </si>
  <si>
    <t>HU-_-</t>
  </si>
  <si>
    <t>EXM</t>
  </si>
  <si>
    <t>EXM-_-</t>
  </si>
  <si>
    <t>EXT-_-</t>
  </si>
  <si>
    <t>Syndication</t>
  </si>
  <si>
    <t>SYND-_-</t>
  </si>
  <si>
    <t>newhomesource.com</t>
  </si>
  <si>
    <t>NHS-_-</t>
  </si>
  <si>
    <t>Coastal Carolinas</t>
  </si>
  <si>
    <t>CCA-_-</t>
  </si>
  <si>
    <t>bay area</t>
  </si>
  <si>
    <t>BAY-_-</t>
  </si>
  <si>
    <t xml:space="preserve">Wieland Market Wide </t>
  </si>
  <si>
    <t>JWMKT</t>
  </si>
  <si>
    <t>Engagement- Social</t>
  </si>
  <si>
    <t>ENGS-_-</t>
  </si>
  <si>
    <t>Exterior-Daylight</t>
  </si>
  <si>
    <t>EXTD-_-</t>
  </si>
  <si>
    <t>PulteGroup</t>
  </si>
  <si>
    <t>PG-_-</t>
  </si>
  <si>
    <t>pulte.com/blog</t>
  </si>
  <si>
    <t>PUBLOG-_-</t>
  </si>
  <si>
    <t>Colorado</t>
  </si>
  <si>
    <t>COD-_-</t>
  </si>
  <si>
    <t>bergen county</t>
  </si>
  <si>
    <t>BEC-_-</t>
  </si>
  <si>
    <t>DiVosta</t>
  </si>
  <si>
    <t>DIV</t>
  </si>
  <si>
    <t>Social Help</t>
  </si>
  <si>
    <t>SOCH-_-</t>
  </si>
  <si>
    <t>Exterior-Twilight</t>
  </si>
  <si>
    <t>EXTT-_-</t>
  </si>
  <si>
    <t>Public Relations</t>
  </si>
  <si>
    <t>PR-_-</t>
  </si>
  <si>
    <t>newsroom.pultegroup.com</t>
  </si>
  <si>
    <t>Columbus</t>
  </si>
  <si>
    <t>COL-_-</t>
  </si>
  <si>
    <t>carolina-shores</t>
  </si>
  <si>
    <t>CSHO-_-</t>
  </si>
  <si>
    <t>Divosta Market Wide</t>
  </si>
  <si>
    <t>DIVMKT</t>
  </si>
  <si>
    <t>Engagement- General</t>
  </si>
  <si>
    <t>ENGG-_-</t>
  </si>
  <si>
    <t>Flex Room</t>
  </si>
  <si>
    <t>FLXR-_-</t>
  </si>
  <si>
    <t>Social Organic</t>
  </si>
  <si>
    <t>SOCO-_-</t>
  </si>
  <si>
    <t>youtube.com</t>
  </si>
  <si>
    <t>YT-_-</t>
  </si>
  <si>
    <t xml:space="preserve">Columbus-Cleveland </t>
  </si>
  <si>
    <t>CCL-_-</t>
  </si>
  <si>
    <t>central-valley</t>
  </si>
  <si>
    <t>CV-_-</t>
  </si>
  <si>
    <t>Del Webb</t>
  </si>
  <si>
    <t>DW</t>
  </si>
  <si>
    <t>Realtor</t>
  </si>
  <si>
    <t>REAL-_-</t>
  </si>
  <si>
    <t>Floor Plan</t>
  </si>
  <si>
    <t>FP-_-</t>
  </si>
  <si>
    <t>Online Advertising</t>
  </si>
  <si>
    <t>OLA-_-</t>
  </si>
  <si>
    <t>google.com</t>
  </si>
  <si>
    <t>GO-_-</t>
  </si>
  <si>
    <t>Dallas</t>
  </si>
  <si>
    <t>DAL-_-</t>
  </si>
  <si>
    <t>charleston</t>
  </si>
  <si>
    <t>Del Webb Market Wide</t>
  </si>
  <si>
    <t>DWMKT</t>
  </si>
  <si>
    <t>Event</t>
  </si>
  <si>
    <t>EV-_-</t>
  </si>
  <si>
    <t>Foyer</t>
  </si>
  <si>
    <t>FYR-_-</t>
  </si>
  <si>
    <t>Video</t>
  </si>
  <si>
    <t>VID-_-</t>
  </si>
  <si>
    <t>bing.com</t>
  </si>
  <si>
    <t>BI-_-</t>
  </si>
  <si>
    <t>East Carolina</t>
  </si>
  <si>
    <t>ECAR-_-</t>
  </si>
  <si>
    <t>American West</t>
  </si>
  <si>
    <t>AW</t>
  </si>
  <si>
    <t>Lead</t>
  </si>
  <si>
    <t>LEAD-_-</t>
  </si>
  <si>
    <t>Instagram Story</t>
  </si>
  <si>
    <t>STOR-_-</t>
  </si>
  <si>
    <t>Mobile Display</t>
  </si>
  <si>
    <t>MOBDISPL-_-</t>
  </si>
  <si>
    <t>realtor</t>
  </si>
  <si>
    <t>REA-_-</t>
  </si>
  <si>
    <t>Georgia</t>
  </si>
  <si>
    <t>GEO-_-</t>
  </si>
  <si>
    <t>chicago</t>
  </si>
  <si>
    <t>CHI-_-</t>
  </si>
  <si>
    <t>American West Market Wide</t>
  </si>
  <si>
    <t>AWMKT</t>
  </si>
  <si>
    <t>Coming Soon</t>
  </si>
  <si>
    <t>CS-_-</t>
  </si>
  <si>
    <t>Interactive Floor Plan</t>
  </si>
  <si>
    <t>IFP-_-</t>
  </si>
  <si>
    <t>Display</t>
  </si>
  <si>
    <t>DISP-_-</t>
  </si>
  <si>
    <t>teads</t>
  </si>
  <si>
    <t>TDS-_-</t>
  </si>
  <si>
    <t>Houston</t>
  </si>
  <si>
    <t>HOU-_-</t>
  </si>
  <si>
    <t>cleveland</t>
  </si>
  <si>
    <t>CLEV-_-</t>
  </si>
  <si>
    <t>Multi-Brand</t>
  </si>
  <si>
    <t>MULTI</t>
  </si>
  <si>
    <t>Community</t>
  </si>
  <si>
    <t>COM-_-</t>
  </si>
  <si>
    <t>Lifestyle</t>
  </si>
  <si>
    <t>LIFE-_-</t>
  </si>
  <si>
    <t>Cost Per Click</t>
  </si>
  <si>
    <t>CPC-_-</t>
  </si>
  <si>
    <t>SpotX</t>
  </si>
  <si>
    <t>SPX-_-</t>
  </si>
  <si>
    <t>Illinois-St. Louis</t>
  </si>
  <si>
    <t>ILS-_-</t>
  </si>
  <si>
    <t>coastal carolinas</t>
  </si>
  <si>
    <t>CC-_-</t>
  </si>
  <si>
    <t>All Brands</t>
  </si>
  <si>
    <t>ALL</t>
  </si>
  <si>
    <t>Plan</t>
  </si>
  <si>
    <t>PLAN-_-</t>
  </si>
  <si>
    <t>Loft</t>
  </si>
  <si>
    <t>LOFT-_-</t>
  </si>
  <si>
    <t>Search Engine Marketing</t>
  </si>
  <si>
    <t>SEM-_-</t>
  </si>
  <si>
    <t>hulu</t>
  </si>
  <si>
    <t>Indianapolis-Louisville</t>
  </si>
  <si>
    <t>INK-_-</t>
  </si>
  <si>
    <t>columbus</t>
  </si>
  <si>
    <t>DW Explore</t>
  </si>
  <si>
    <t>EXP</t>
  </si>
  <si>
    <t>Traffic</t>
  </si>
  <si>
    <t>TRF-_-</t>
  </si>
  <si>
    <t>Open Floor Plan</t>
  </si>
  <si>
    <t>OFP-_-</t>
  </si>
  <si>
    <t>Email</t>
  </si>
  <si>
    <t>EML-_-</t>
  </si>
  <si>
    <t>programmatic</t>
  </si>
  <si>
    <t>PRG-_-</t>
  </si>
  <si>
    <t>Las Vegas</t>
  </si>
  <si>
    <t>LSV-_-</t>
  </si>
  <si>
    <t>columbia</t>
  </si>
  <si>
    <t>COS-_-</t>
  </si>
  <si>
    <t>Open Floor Plan- Kitchen</t>
  </si>
  <si>
    <t>OFPK-_-</t>
  </si>
  <si>
    <t>Demand Gen</t>
  </si>
  <si>
    <t>DMG-_-</t>
  </si>
  <si>
    <t>Field Email</t>
  </si>
  <si>
    <t>FEM-_-</t>
  </si>
  <si>
    <t>Michigan</t>
  </si>
  <si>
    <t>MIC-_-</t>
  </si>
  <si>
    <t>denver</t>
  </si>
  <si>
    <t>DEN-_-</t>
  </si>
  <si>
    <t>Prospect</t>
  </si>
  <si>
    <t>PROS-_-</t>
  </si>
  <si>
    <t>Owners Bathroom</t>
  </si>
  <si>
    <t>OBA-_-</t>
  </si>
  <si>
    <t>Home Office Email</t>
  </si>
  <si>
    <t>HOME-_-</t>
  </si>
  <si>
    <t>Mid-Atlantic</t>
  </si>
  <si>
    <t>MAT-_-</t>
  </si>
  <si>
    <t>dallas</t>
  </si>
  <si>
    <t>Lead and Prospect</t>
  </si>
  <si>
    <t>LDPR-_-</t>
  </si>
  <si>
    <t>Owners Bedroom</t>
  </si>
  <si>
    <t>OBR-_-</t>
  </si>
  <si>
    <t>Owners Entry Email</t>
  </si>
  <si>
    <t>OEEM-_-</t>
  </si>
  <si>
    <t>Minnesota</t>
  </si>
  <si>
    <t>MIN-_-</t>
  </si>
  <si>
    <t>dc metro</t>
  </si>
  <si>
    <t>DC-_-</t>
  </si>
  <si>
    <t>Home Owner</t>
  </si>
  <si>
    <t>HOWN-_-</t>
  </si>
  <si>
    <t xml:space="preserve">Pool </t>
  </si>
  <si>
    <t>POOL-_-</t>
  </si>
  <si>
    <t>Welcome Email</t>
  </si>
  <si>
    <t>WLEM-_-</t>
  </si>
  <si>
    <t>Nashville</t>
  </si>
  <si>
    <t>NAS-_-</t>
  </si>
  <si>
    <t>detroit</t>
  </si>
  <si>
    <t>DET-_-</t>
  </si>
  <si>
    <t>Nurturing</t>
  </si>
  <si>
    <t>NUR-_-</t>
  </si>
  <si>
    <t>Pulte Planning Center</t>
  </si>
  <si>
    <t>PPC-_-</t>
  </si>
  <si>
    <t>National</t>
  </si>
  <si>
    <t>NAT-_-</t>
  </si>
  <si>
    <t>eastern-massachusetts</t>
  </si>
  <si>
    <t>EMAS-_-</t>
  </si>
  <si>
    <t>Site Availability Map</t>
  </si>
  <si>
    <t>SAM-_-</t>
  </si>
  <si>
    <t>New England</t>
  </si>
  <si>
    <t>NEN-_-</t>
  </si>
  <si>
    <t>fort lauderdale</t>
  </si>
  <si>
    <t>FTL-_-</t>
  </si>
  <si>
    <t>Slideshow</t>
  </si>
  <si>
    <t>SLIDE-_-</t>
  </si>
  <si>
    <t>New Mexico</t>
  </si>
  <si>
    <t>NME-_-</t>
  </si>
  <si>
    <t>fort myers</t>
  </si>
  <si>
    <t>FTM-_-</t>
  </si>
  <si>
    <t>Smart Home</t>
  </si>
  <si>
    <t>SMHM-_-</t>
  </si>
  <si>
    <t>North Florida</t>
  </si>
  <si>
    <t>NFL-_-</t>
  </si>
  <si>
    <t>fort myers-naples</t>
  </si>
  <si>
    <t>FMNA-_-</t>
  </si>
  <si>
    <t>Northeast Florida</t>
  </si>
  <si>
    <t>NEFL-_-</t>
  </si>
  <si>
    <t>fort-mill-indian-land</t>
  </si>
  <si>
    <t>FTMI-_-</t>
  </si>
  <si>
    <t>Virtual Reality</t>
  </si>
  <si>
    <t>VIRT-_-</t>
  </si>
  <si>
    <t>Northeast Corridor</t>
  </si>
  <si>
    <t>NCO-_-</t>
  </si>
  <si>
    <t>greater boston area</t>
  </si>
  <si>
    <t>GRB-_-</t>
  </si>
  <si>
    <t>Northern California</t>
  </si>
  <si>
    <t>NCA-_-</t>
  </si>
  <si>
    <t>greater-hudson-valley</t>
  </si>
  <si>
    <t>HUD-_-</t>
  </si>
  <si>
    <t>Pacific Northwest</t>
  </si>
  <si>
    <t>PNO-_-</t>
  </si>
  <si>
    <t>Greensboro-High Point-Winston Salem NC  </t>
  </si>
  <si>
    <t>GRNS-_-</t>
  </si>
  <si>
    <t>Raleigh</t>
  </si>
  <si>
    <t>RAL-_-</t>
  </si>
  <si>
    <t xml:space="preserve">hartford-new haven </t>
  </si>
  <si>
    <t>CT-_-</t>
  </si>
  <si>
    <t>San Antonio</t>
  </si>
  <si>
    <t>SAN-_-</t>
  </si>
  <si>
    <t>hilton head</t>
  </si>
  <si>
    <t>HH-_-</t>
  </si>
  <si>
    <t>Southeast Florida</t>
  </si>
  <si>
    <t>SEF-_-</t>
  </si>
  <si>
    <t>houston</t>
  </si>
  <si>
    <t>Southern California</t>
  </si>
  <si>
    <t>SCA-_-</t>
  </si>
  <si>
    <t>indianapolis</t>
  </si>
  <si>
    <t>IND-_-</t>
  </si>
  <si>
    <t>Southwest Florida</t>
  </si>
  <si>
    <t>SWF-_-</t>
  </si>
  <si>
    <t>jacksonville</t>
  </si>
  <si>
    <t>JAC-_-</t>
  </si>
  <si>
    <t>West Florida</t>
  </si>
  <si>
    <t>WFL-_-</t>
  </si>
  <si>
    <t>jeffersonville</t>
  </si>
  <si>
    <t>JEF-_-</t>
  </si>
  <si>
    <t>Utah</t>
  </si>
  <si>
    <t>UTA-_-</t>
  </si>
  <si>
    <t>killeen-temple</t>
  </si>
  <si>
    <t>KIL-_-</t>
  </si>
  <si>
    <t>las-vegas</t>
  </si>
  <si>
    <t>LV-_-</t>
  </si>
  <si>
    <t>los angeles</t>
  </si>
  <si>
    <t>LAX-_-</t>
  </si>
  <si>
    <t>louisville</t>
  </si>
  <si>
    <t>LOU-_-</t>
  </si>
  <si>
    <t>maryland beaches</t>
  </si>
  <si>
    <t>MBCH-_-</t>
  </si>
  <si>
    <t>mesquite</t>
  </si>
  <si>
    <t>MES-_-</t>
  </si>
  <si>
    <t>Miami-Ft. Lauderdale</t>
  </si>
  <si>
    <t>MIFT-_-</t>
  </si>
  <si>
    <t>morris county</t>
  </si>
  <si>
    <t>MOC-_-</t>
  </si>
  <si>
    <t>myrtle beach</t>
  </si>
  <si>
    <t>MB-_-</t>
  </si>
  <si>
    <t>naples</t>
  </si>
  <si>
    <t>NAP-_-</t>
  </si>
  <si>
    <t>nashville</t>
  </si>
  <si>
    <t>NASH-_-</t>
  </si>
  <si>
    <t>New York</t>
  </si>
  <si>
    <t>NY-_-</t>
  </si>
  <si>
    <t>newark</t>
  </si>
  <si>
    <t>EWR-_-</t>
  </si>
  <si>
    <t>new-jersey</t>
  </si>
  <si>
    <t>NJ-_-</t>
  </si>
  <si>
    <t>northeast florida</t>
  </si>
  <si>
    <t>northern california</t>
  </si>
  <si>
    <t>NCAL-_-</t>
  </si>
  <si>
    <t>northern virginia</t>
  </si>
  <si>
    <t>NOVA-_-</t>
  </si>
  <si>
    <t>northfolk-portsmout-newsport</t>
  </si>
  <si>
    <t>NFLK-_-</t>
  </si>
  <si>
    <t>orange county</t>
  </si>
  <si>
    <t>ORC-_-</t>
  </si>
  <si>
    <t>orlando</t>
  </si>
  <si>
    <t>ORL-_-</t>
  </si>
  <si>
    <t>palm beach</t>
  </si>
  <si>
    <t>PBR-_-</t>
  </si>
  <si>
    <t>palm springs</t>
  </si>
  <si>
    <t>PMS-_-</t>
  </si>
  <si>
    <t>philadelphia</t>
  </si>
  <si>
    <t>PHIL-_-</t>
  </si>
  <si>
    <t>phoenix</t>
  </si>
  <si>
    <t>PHX-_-</t>
  </si>
  <si>
    <t>portland</t>
  </si>
  <si>
    <t>PORT-_-</t>
  </si>
  <si>
    <t>princeton</t>
  </si>
  <si>
    <t>PRN-_-</t>
  </si>
  <si>
    <t>raleigh</t>
  </si>
  <si>
    <t>richmond</t>
  </si>
  <si>
    <t>RICH-_-</t>
  </si>
  <si>
    <t>riverside county</t>
  </si>
  <si>
    <t>RSC-_-</t>
  </si>
  <si>
    <t>sacramento</t>
  </si>
  <si>
    <t>SAC-_-</t>
  </si>
  <si>
    <t>san antonio</t>
  </si>
  <si>
    <t>san bernadino county</t>
  </si>
  <si>
    <t>SBC-_-</t>
  </si>
  <si>
    <t>san jose</t>
  </si>
  <si>
    <t>SAJ-_-</t>
  </si>
  <si>
    <t>santa fe</t>
  </si>
  <si>
    <t>SFE-_-</t>
  </si>
  <si>
    <t>sarasota</t>
  </si>
  <si>
    <t>SAR-_-</t>
  </si>
  <si>
    <t>savannah</t>
  </si>
  <si>
    <t>SAV-_-</t>
  </si>
  <si>
    <t>seattle</t>
  </si>
  <si>
    <t>SEAT-_-</t>
  </si>
  <si>
    <t>southern california</t>
  </si>
  <si>
    <t>SCAL-_-</t>
  </si>
  <si>
    <t>southern connecticut</t>
  </si>
  <si>
    <t>SOC-_-</t>
  </si>
  <si>
    <t>st.louis</t>
  </si>
  <si>
    <t>STL-_-</t>
  </si>
  <si>
    <t>tampa</t>
  </si>
  <si>
    <t>TAM-_-</t>
  </si>
  <si>
    <t>the twin cities</t>
  </si>
  <si>
    <t>TWIN-_-</t>
  </si>
  <si>
    <t>treasure coast</t>
  </si>
  <si>
    <t>TRC-_-</t>
  </si>
  <si>
    <t>tucson</t>
  </si>
  <si>
    <t>TUC-_-</t>
  </si>
  <si>
    <t>wilmington</t>
  </si>
  <si>
    <t>WIL-_-</t>
  </si>
  <si>
    <t>salt lake city</t>
  </si>
  <si>
    <t>SLC-_-</t>
  </si>
  <si>
    <t>SEM DMA</t>
  </si>
  <si>
    <t>Phoenix AZ</t>
  </si>
  <si>
    <t>Tucson AZ</t>
  </si>
  <si>
    <t>Central Texas</t>
  </si>
  <si>
    <t>Waco-Temple-Bryan TX</t>
  </si>
  <si>
    <t>Charlotte NC</t>
  </si>
  <si>
    <t>Cleveland-Akron (Canton) OH</t>
  </si>
  <si>
    <t>Charleston SC</t>
  </si>
  <si>
    <t>Florence-Myrtle Beach SC</t>
  </si>
  <si>
    <t>Savannah GA</t>
  </si>
  <si>
    <t>Wilmington NC</t>
  </si>
  <si>
    <t>Columbus, OH</t>
  </si>
  <si>
    <t>Dallas-Fort Worth TX</t>
  </si>
  <si>
    <t>Atlanta GA</t>
  </si>
  <si>
    <t>Houston TX</t>
  </si>
  <si>
    <t>Chicago IL</t>
  </si>
  <si>
    <t>Illinois</t>
  </si>
  <si>
    <t>Indianapolis IN</t>
  </si>
  <si>
    <t>Indianapolis-Kentucky</t>
  </si>
  <si>
    <t>Louisville KY</t>
  </si>
  <si>
    <t>Detroit MI</t>
  </si>
  <si>
    <t>Flint-Saginaw-Bay City MI</t>
  </si>
  <si>
    <t>Baltimore MD</t>
  </si>
  <si>
    <t>Mid Atlantic</t>
  </si>
  <si>
    <t>Washington DC (Hagerstown MD)</t>
  </si>
  <si>
    <t>Salisbury MD (city)</t>
  </si>
  <si>
    <t>Norfolk-Portsmouth-Newport News VA</t>
  </si>
  <si>
    <t>Richmond-Petersburg VA</t>
  </si>
  <si>
    <t>Minneapolis-St. Paul MN</t>
  </si>
  <si>
    <t>Boston MA-Manchester NH</t>
  </si>
  <si>
    <t>Providence RI-New Bedford MA</t>
  </si>
  <si>
    <t>Hartford &amp; New Haven CT</t>
  </si>
  <si>
    <t>Albuquerque-Santa Fe NM</t>
  </si>
  <si>
    <t>Jacksonville FL</t>
  </si>
  <si>
    <t>Orlando-Daytona Beach-Melbourne FL</t>
  </si>
  <si>
    <t>New York, NY</t>
  </si>
  <si>
    <t>Philadelphia, PA</t>
  </si>
  <si>
    <t>San Francisco-Oakland-San Jose CA</t>
  </si>
  <si>
    <t>Fresno-Visalia</t>
  </si>
  <si>
    <t>Rena, Fresno-Visalia CA</t>
  </si>
  <si>
    <t>Sacramento-Stockton-Modesto CA</t>
  </si>
  <si>
    <t>Seattle-Tacoma WA</t>
  </si>
  <si>
    <t>Greensboro-High Point-Winston Salem NC</t>
  </si>
  <si>
    <t>Raleigh-Durham (Fayetteville) NC</t>
  </si>
  <si>
    <t>San Antonio TX</t>
  </si>
  <si>
    <t>Miami-Ft. Lauderdale FL</t>
  </si>
  <si>
    <t>West Palm Beach-Ft. Pierce FL</t>
  </si>
  <si>
    <t>Los Angeles, CA</t>
  </si>
  <si>
    <t>San Diego</t>
  </si>
  <si>
    <t>Las Vegas NV</t>
  </si>
  <si>
    <t>Southern Nevada</t>
  </si>
  <si>
    <t>Ft. Myers-Naples FL</t>
  </si>
  <si>
    <t>St. Louis MO</t>
  </si>
  <si>
    <t>St. Louis</t>
  </si>
  <si>
    <t>Nashville TN</t>
  </si>
  <si>
    <t>Tennessee</t>
  </si>
  <si>
    <t>Tampa-St. Petersburg (Sarasota) FL</t>
  </si>
  <si>
    <t>Mandatory Fields</t>
  </si>
  <si>
    <t>Very Nice to Haves</t>
  </si>
  <si>
    <t>Can be changed</t>
  </si>
  <si>
    <t>Target URL</t>
  </si>
  <si>
    <t>Media Vendor</t>
  </si>
  <si>
    <t>Campaign Name</t>
  </si>
  <si>
    <t>Placement
 (banner, email, etc.)</t>
  </si>
  <si>
    <t>AdUnitSize
 Typically only Banners</t>
  </si>
  <si>
    <t>Ad Description</t>
  </si>
  <si>
    <t>Creative Execution
 Version 1-2-etc.</t>
  </si>
  <si>
    <t>UTM String</t>
  </si>
  <si>
    <t>Custom URL</t>
  </si>
  <si>
    <t>Web Address</t>
  </si>
  <si>
    <t>Term</t>
  </si>
  <si>
    <t>ID</t>
  </si>
  <si>
    <t>YOUR UTM CODE!</t>
  </si>
  <si>
    <t>www.looney.com</t>
  </si>
  <si>
    <t>ABG</t>
  </si>
  <si>
    <t>my campaign</t>
  </si>
  <si>
    <t>typ</t>
  </si>
  <si>
    <t>e</t>
  </si>
  <si>
    <t>term or version</t>
  </si>
  <si>
    <t>Description:</t>
  </si>
  <si>
    <t>Platform</t>
  </si>
  <si>
    <t>Campaign/Keyword Group</t>
  </si>
  <si>
    <t>Link/Ad/Keyword Detail</t>
  </si>
  <si>
    <t>YOUR Campaign CODE!</t>
  </si>
  <si>
    <t>http://www.mohawkgroup.com</t>
  </si>
  <si>
    <t>eml</t>
  </si>
  <si>
    <t>exact-target</t>
  </si>
  <si>
    <t>20140317_stpatricksday</t>
  </si>
  <si>
    <t>hero-link</t>
  </si>
  <si>
    <t>?cid=eml|exacttarget|20140317_stpatricksday|herolink</t>
  </si>
  <si>
    <t>http://www.mohawkgroup.com?cid=eml|exacttarget|20140317_stpatricksday|herolink</t>
  </si>
  <si>
    <t>ps</t>
  </si>
  <si>
    <t>google</t>
  </si>
  <si>
    <t xml:space="preserve">brand_core  </t>
  </si>
  <si>
    <t>qualcomm-exact-match</t>
  </si>
  <si>
    <t>?cmpid=ps|google|brand_core|qualcommexactmatch</t>
  </si>
  <si>
    <t>http://www.mohawkgroup.com?cmpid=ps|google|brand_core|qualcommexactmatch</t>
  </si>
  <si>
    <t>aff</t>
  </si>
  <si>
    <t>ebay</t>
  </si>
  <si>
    <t>home-page-banner</t>
  </si>
  <si>
    <t>600X350-ad123</t>
  </si>
  <si>
    <t>?cmpid=aff|ebay|homepagebanner|600x350ad123</t>
  </si>
  <si>
    <t>http://www.mohawkgroup.com?cmpid=aff|ebay|homepagebanner|600x350ad123</t>
  </si>
  <si>
    <t>ola</t>
  </si>
  <si>
    <t>espn</t>
  </si>
  <si>
    <t>banner</t>
  </si>
  <si>
    <t>600X350-ad234</t>
  </si>
  <si>
    <t>?cmpid=ola|espn|banner|600x350ad234</t>
  </si>
  <si>
    <t>http://www.mohawkgroup.com?cmpid=ola|espn|banner|600x350ad234</t>
  </si>
  <si>
    <t>http://www.mohawkgroup.com/</t>
  </si>
  <si>
    <t>soc</t>
  </si>
  <si>
    <t>facebook</t>
  </si>
  <si>
    <t>behavioral-targeted</t>
  </si>
  <si>
    <t>ad-123-and-text</t>
  </si>
  <si>
    <t>?cmpid=soc|facebook|behavioraltargeted|ad123andtext</t>
  </si>
  <si>
    <t>http://www.mohawkgroup.com?cmpid=soc|facebook|behavioraltargeted|ad123andtext</t>
  </si>
  <si>
    <t/>
  </si>
  <si>
    <t>Channel Prefix</t>
  </si>
  <si>
    <t>Channel Desc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</si>
</sst>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name val="Arial"/>
      <family val="2"/>
    </font>
    <font>
      <u/>
      <sz val="12"/>
      <color rgb="FF000000"/>
      <name val="Calibri"/>
      <family val="2"/>
    </font>
    <font>
      <u/>
      <sz val="10"/>
      <color rgb="FF1155CC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EEECE1"/>
        <bgColor rgb="FFEEECE1"/>
      </patternFill>
    </fill>
    <fill>
      <patternFill patternType="solid">
        <fgColor rgb="FF538DD5"/>
        <bgColor rgb="FF538DD5"/>
      </patternFill>
    </fill>
    <fill>
      <patternFill patternType="solid">
        <fgColor rgb="FFFFFFFF"/>
        <bgColor rgb="FFFFFFFF"/>
      </patternFill>
    </fill>
    <fill>
      <patternFill patternType="solid">
        <fgColor theme="4" tint="0.39997558519241921"/>
        <bgColor rgb="FFED7D3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8CBAD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1" fillId="0" borderId="0"/>
    <xf numFmtId="0" fontId="2" fillId="0" borderId="0"/>
  </cellStyleXfs>
  <cellXfs count="57">
    <xf numFmtId="0" fontId="0" fillId="0" borderId="0" xfId="0"/>
    <xf numFmtId="0" fontId="3" fillId="2" borderId="1" xfId="0" applyFont="1" applyFill="1" applyBorder="1"/>
    <xf numFmtId="0" fontId="3" fillId="3" borderId="2" xfId="0" applyFont="1" applyFill="1" applyBorder="1"/>
    <xf numFmtId="0" fontId="4" fillId="0" borderId="1" xfId="0" applyFont="1" applyBorder="1"/>
    <xf numFmtId="0" fontId="3" fillId="0" borderId="1" xfId="0" applyFont="1" applyBorder="1"/>
    <xf numFmtId="0" fontId="4" fillId="4" borderId="3" xfId="0" applyFont="1" applyFill="1" applyBorder="1"/>
    <xf numFmtId="0" fontId="3" fillId="5" borderId="2" xfId="0" applyFont="1" applyFill="1" applyBorder="1"/>
    <xf numFmtId="0" fontId="3" fillId="2" borderId="4" xfId="0" applyFont="1" applyFill="1" applyBorder="1"/>
    <xf numFmtId="0" fontId="3" fillId="3" borderId="1" xfId="0" applyFont="1" applyFill="1" applyBorder="1"/>
    <xf numFmtId="0" fontId="4" fillId="4" borderId="0" xfId="0" applyFont="1" applyFill="1"/>
    <xf numFmtId="0" fontId="3" fillId="4" borderId="4" xfId="0" applyFont="1" applyFill="1" applyBorder="1"/>
    <xf numFmtId="0" fontId="3" fillId="2" borderId="0" xfId="0" applyFont="1" applyFill="1"/>
    <xf numFmtId="0" fontId="3" fillId="3" borderId="0" xfId="0" applyFont="1" applyFill="1"/>
    <xf numFmtId="0" fontId="5" fillId="0" borderId="0" xfId="0" applyFont="1"/>
    <xf numFmtId="0" fontId="3" fillId="0" borderId="0" xfId="0" applyFont="1"/>
    <xf numFmtId="0" fontId="6" fillId="0" borderId="0" xfId="0" applyFont="1"/>
    <xf numFmtId="0" fontId="3" fillId="2" borderId="5" xfId="0" applyFont="1" applyFill="1" applyBorder="1"/>
    <xf numFmtId="0" fontId="4" fillId="2" borderId="6" xfId="0" applyFont="1" applyFill="1" applyBorder="1"/>
    <xf numFmtId="0" fontId="4" fillId="6" borderId="0" xfId="0" applyFont="1" applyFill="1"/>
    <xf numFmtId="0" fontId="4" fillId="0" borderId="0" xfId="0" applyFont="1"/>
    <xf numFmtId="0" fontId="7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2" fillId="10" borderId="0" xfId="2" applyFill="1"/>
    <xf numFmtId="0" fontId="2" fillId="10" borderId="0" xfId="2" applyFill="1" applyAlignment="1">
      <alignment horizontal="left"/>
    </xf>
    <xf numFmtId="0" fontId="2" fillId="10" borderId="10" xfId="2" applyFill="1" applyBorder="1" applyAlignment="1">
      <alignment horizontal="left"/>
    </xf>
    <xf numFmtId="0" fontId="2" fillId="10" borderId="10" xfId="2" applyFill="1" applyBorder="1"/>
    <xf numFmtId="0" fontId="13" fillId="10" borderId="0" xfId="2" applyFont="1" applyFill="1"/>
    <xf numFmtId="14" fontId="2" fillId="10" borderId="0" xfId="2" applyNumberFormat="1" applyFill="1" applyAlignment="1">
      <alignment horizontal="left"/>
    </xf>
    <xf numFmtId="0" fontId="2" fillId="10" borderId="0" xfId="2" applyFill="1" applyAlignment="1">
      <alignment horizontal="left" vertical="center"/>
    </xf>
    <xf numFmtId="0" fontId="14" fillId="10" borderId="0" xfId="2" applyFont="1" applyFill="1" applyAlignment="1">
      <alignment horizontal="center" vertical="center"/>
    </xf>
    <xf numFmtId="0" fontId="14" fillId="10" borderId="0" xfId="2" applyFont="1" applyFill="1" applyAlignment="1">
      <alignment horizontal="left" vertical="center"/>
    </xf>
    <xf numFmtId="0" fontId="2" fillId="10" borderId="0" xfId="2" applyFill="1" applyAlignment="1">
      <alignment vertical="center"/>
    </xf>
    <xf numFmtId="0" fontId="2" fillId="10" borderId="14" xfId="2" applyFill="1" applyBorder="1" applyAlignment="1">
      <alignment horizontal="left"/>
    </xf>
    <xf numFmtId="0" fontId="2" fillId="10" borderId="11" xfId="2" applyFill="1" applyBorder="1"/>
    <xf numFmtId="0" fontId="2" fillId="10" borderId="12" xfId="2" applyFill="1" applyBorder="1"/>
    <xf numFmtId="0" fontId="2" fillId="10" borderId="13" xfId="2" applyFill="1" applyBorder="1"/>
    <xf numFmtId="0" fontId="12" fillId="11" borderId="0" xfId="0" applyFont="1" applyFill="1" applyAlignment="1">
      <alignment vertical="center"/>
    </xf>
    <xf numFmtId="0" fontId="9" fillId="11" borderId="0" xfId="0" applyFont="1" applyFill="1" applyAlignment="1">
      <alignment vertical="center"/>
    </xf>
    <xf numFmtId="0" fontId="9" fillId="12" borderId="0" xfId="0" applyFont="1" applyFill="1" applyAlignment="1">
      <alignment vertical="center"/>
    </xf>
    <xf numFmtId="0" fontId="1" fillId="10" borderId="10" xfId="2" applyFont="1" applyFill="1" applyBorder="1" applyAlignment="1">
      <alignment horizontal="left"/>
    </xf>
    <xf numFmtId="0" fontId="1" fillId="10" borderId="0" xfId="2" applyFont="1" applyFill="1"/>
    <xf numFmtId="14" fontId="1" fillId="10" borderId="10" xfId="2" applyNumberFormat="1" applyFont="1" applyFill="1" applyBorder="1" applyAlignment="1">
      <alignment horizontal="left"/>
    </xf>
    <xf numFmtId="0" fontId="1" fillId="10" borderId="10" xfId="2" applyFont="1" applyFill="1" applyBorder="1"/>
    <xf numFmtId="0" fontId="1" fillId="10" borderId="0" xfId="2" applyFont="1" applyFill="1" applyAlignment="1">
      <alignment horizontal="left"/>
    </xf>
    <xf numFmtId="0" fontId="1" fillId="0" borderId="0" xfId="2" applyFont="1"/>
    <xf numFmtId="0" fontId="1" fillId="10" borderId="0" xfId="2" applyFont="1" applyFill="1" applyAlignment="1">
      <alignment horizontal="right"/>
    </xf>
    <xf numFmtId="0" fontId="1" fillId="10" borderId="0" xfId="2" applyFont="1" applyFill="1" applyAlignment="1">
      <alignment horizontal="center"/>
    </xf>
    <xf numFmtId="0" fontId="8" fillId="9" borderId="7" xfId="0" applyFont="1" applyFill="1" applyBorder="1" applyAlignment="1">
      <alignment horizontal="center" vertical="center" wrapText="1"/>
    </xf>
    <xf numFmtId="0" fontId="9" fillId="8" borderId="7" xfId="0" applyFont="1" applyFill="1" applyBorder="1" applyAlignment="1">
      <alignment vertical="center" wrapText="1"/>
    </xf>
    <xf numFmtId="0" fontId="8" fillId="7" borderId="7" xfId="0" applyFont="1" applyFill="1" applyBorder="1" applyAlignment="1">
      <alignment horizontal="center" vertical="center" wrapText="1"/>
    </xf>
    <xf numFmtId="0" fontId="8" fillId="8" borderId="8" xfId="0" applyFont="1" applyFill="1" applyBorder="1" applyAlignment="1">
      <alignment horizontal="center" vertical="center" wrapText="1"/>
    </xf>
    <xf numFmtId="0" fontId="8" fillId="8" borderId="9" xfId="0" applyFont="1" applyFill="1" applyBorder="1" applyAlignment="1">
      <alignment horizontal="center" vertical="center" wrapText="1"/>
    </xf>
    <xf numFmtId="0" fontId="8" fillId="9" borderId="15" xfId="0" applyFont="1" applyFill="1" applyBorder="1" applyAlignment="1">
      <alignment horizontal="center" vertical="top" wrapText="1"/>
    </xf>
    <xf numFmtId="0" fontId="8" fillId="9" borderId="0" xfId="0" applyFont="1" applyFill="1" applyAlignment="1">
      <alignment horizontal="center" vertical="top" wrapText="1"/>
    </xf>
  </cellXfs>
  <cellStyles count="3">
    <cellStyle name="Normal" xfId="0" builtinId="0"/>
    <cellStyle name="Normal 2" xfId="2" xr:uid="{E47ACD95-63C0-4924-A93F-A17A5F245896}"/>
    <cellStyle name="Normal 2 3" xfId="1" xr:uid="{B782D4A6-99F1-4B2B-9AFD-F87B0DD029C4}"/>
  </cellStyles>
  <dxfs count="2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603250</xdr:colOff>
      <xdr:row>21</xdr:row>
      <xdr:rowOff>82550</xdr:rowOff>
    </xdr:from>
    <xdr:to>
      <xdr:col>4</xdr:col>
      <xdr:colOff>457201</xdr:colOff>
      <xdr:row>24</xdr:row>
      <xdr:rowOff>66675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1270000</xdr:colOff>
          <xdr:row>22</xdr:row>
          <xdr:rowOff>0</xdr:rowOff>
        </xdr:from>
        <xdr:to>
          <xdr:col>12</xdr:col>
          <xdr:colOff>952500</xdr:colOff>
          <xdr:row>24</xdr:row>
          <xdr:rowOff>88900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ustomProperty" Target="../customProperty7.bin"/><Relationship Id="rId3" Type="http://schemas.openxmlformats.org/officeDocument/2006/relationships/customProperty" Target="../customProperty2.bin"/><Relationship Id="rId7" Type="http://schemas.openxmlformats.org/officeDocument/2006/relationships/customProperty" Target="../customProperty6.bin"/><Relationship Id="rId12" Type="http://schemas.openxmlformats.org/officeDocument/2006/relationships/ctrlProp" Target="../ctrlProps/ctrlProp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ustomProperty" Target="../customProperty5.bin"/><Relationship Id="rId11" Type="http://schemas.openxmlformats.org/officeDocument/2006/relationships/vmlDrawing" Target="../drawings/vmlDrawing1.vml"/><Relationship Id="rId5" Type="http://schemas.openxmlformats.org/officeDocument/2006/relationships/customProperty" Target="../customProperty4.bin"/><Relationship Id="rId10" Type="http://schemas.openxmlformats.org/officeDocument/2006/relationships/drawing" Target="../drawings/drawing1.xml"/><Relationship Id="rId4" Type="http://schemas.openxmlformats.org/officeDocument/2006/relationships/customProperty" Target="../customProperty3.bin"/><Relationship Id="rId9" Type="http://schemas.openxmlformats.org/officeDocument/2006/relationships/customProperty" Target="../customProperty8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0.bin"/><Relationship Id="rId1" Type="http://schemas.openxmlformats.org/officeDocument/2006/relationships/hyperlink" Target="http://www.looney.com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www.mohawkgroup.com/" TargetMode="External"/><Relationship Id="rId2" Type="http://schemas.openxmlformats.org/officeDocument/2006/relationships/hyperlink" Target="http://www.mohawkgroup.com/" TargetMode="External"/><Relationship Id="rId1" Type="http://schemas.openxmlformats.org/officeDocument/2006/relationships/hyperlink" Target="http://www.mohawkgroup.com/" TargetMode="External"/><Relationship Id="rId6" Type="http://schemas.openxmlformats.org/officeDocument/2006/relationships/customProperty" Target="../customProperty11.bin"/><Relationship Id="rId5" Type="http://schemas.openxmlformats.org/officeDocument/2006/relationships/hyperlink" Target="http://www.mohawkgroup.com/" TargetMode="External"/><Relationship Id="rId4" Type="http://schemas.openxmlformats.org/officeDocument/2006/relationships/hyperlink" Target="http://www.mohawkgroup.com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A6E80-D9E5-4FCA-8DD7-85B8FEC75917}">
  <sheetPr codeName="Sheet2"/>
  <dimension ref="A1:AA26"/>
  <sheetViews>
    <sheetView tabSelected="1" topLeftCell="A6" zoomScale="110" zoomScaleNormal="110" workbookViewId="0">
      <selection activeCell="C17" sqref="C17"/>
    </sheetView>
  </sheetViews>
  <sheetFormatPr defaultColWidth="8.81640625" defaultRowHeight="14.5" x14ac:dyDescent="0.35"/>
  <cols>
    <col min="1" max="1" width="16.453125" style="25" bestFit="1" customWidth="1"/>
    <col min="2" max="2" width="5.453125" style="25" customWidth="1"/>
    <col min="3" max="3" width="30.1796875" style="26" customWidth="1"/>
    <col min="4" max="4" width="6.453125" style="26" customWidth="1"/>
    <col min="5" max="5" width="12.81640625" style="26" bestFit="1" customWidth="1"/>
    <col min="6" max="12" width="2.453125" style="26" hidden="1" customWidth="1"/>
    <col min="13" max="13" width="11.453125" style="26" customWidth="1"/>
    <col min="14" max="14" width="5.1796875" style="26" customWidth="1"/>
    <col min="15" max="15" width="8.7265625" style="26" customWidth="1"/>
    <col min="16" max="16" width="1" style="26" customWidth="1"/>
    <col min="17" max="17" width="4.1796875" style="26" customWidth="1"/>
    <col min="18" max="18" width="24.54296875" style="25" customWidth="1"/>
    <col min="19" max="19" width="14.453125" style="25" bestFit="1" customWidth="1"/>
    <col min="20" max="20" width="5.81640625" style="25" customWidth="1"/>
    <col min="21" max="21" width="12" style="25" bestFit="1" customWidth="1"/>
    <col min="22" max="22" width="8.81640625" style="25" customWidth="1"/>
    <col min="23" max="24" width="5.81640625" style="25" hidden="1" customWidth="1"/>
    <col min="25" max="25" width="8.453125" style="25" hidden="1" customWidth="1"/>
    <col min="26" max="16384" width="8.81640625" style="25"/>
  </cols>
  <sheetData>
    <row r="1" spans="1:19" hidden="1" x14ac:dyDescent="0.35"/>
    <row r="2" spans="1:19" ht="21.75" customHeight="1" thickBot="1" x14ac:dyDescent="0.4">
      <c r="C2" s="32" t="s">
        <v>0</v>
      </c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2" t="s">
        <v>1</v>
      </c>
      <c r="S2" s="34"/>
    </row>
    <row r="3" spans="1:19" ht="15" thickBot="1" x14ac:dyDescent="0.4">
      <c r="A3" s="43" t="s">
        <v>2</v>
      </c>
      <c r="C3" s="44" t="s">
        <v>3</v>
      </c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45" t="str">
        <f>VLOOKUP(C3,ChannelTrackingValues!A4:B21,2,)</f>
        <v>END-_-</v>
      </c>
    </row>
    <row r="4" spans="1:19" ht="15" thickBot="1" x14ac:dyDescent="0.4"/>
    <row r="5" spans="1:19" ht="15" thickBot="1" x14ac:dyDescent="0.4">
      <c r="A5" s="25" t="s">
        <v>4</v>
      </c>
      <c r="C5" s="44" t="s">
        <v>196</v>
      </c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28" t="str">
        <f>VLOOKUP(C5,ChannelTrackingValues!C4:D24,2,)</f>
        <v>REA-_-</v>
      </c>
    </row>
    <row r="6" spans="1:19" ht="15" thickBot="1" x14ac:dyDescent="0.4"/>
    <row r="7" spans="1:19" ht="15" thickBot="1" x14ac:dyDescent="0.4">
      <c r="A7" s="43" t="s">
        <v>6</v>
      </c>
      <c r="B7" s="43"/>
      <c r="C7" s="42" t="s">
        <v>358</v>
      </c>
      <c r="R7" s="28" t="str">
        <f>VLOOKUP(C7,ChannelTrackingValues!E4:F39,2,)</f>
        <v>WFL-_-</v>
      </c>
    </row>
    <row r="8" spans="1:19" ht="15" thickBot="1" x14ac:dyDescent="0.4"/>
    <row r="9" spans="1:19" ht="15" thickBot="1" x14ac:dyDescent="0.4">
      <c r="A9" s="43" t="s">
        <v>8</v>
      </c>
      <c r="B9" s="43"/>
      <c r="C9" s="27" t="s">
        <v>441</v>
      </c>
      <c r="R9" s="28" t="str">
        <f>VLOOKUP(C9,ChannelTrackingValues!G4:H85,2,)</f>
        <v>TAM-_-</v>
      </c>
    </row>
    <row r="10" spans="1:19" ht="15" thickBot="1" x14ac:dyDescent="0.4"/>
    <row r="11" spans="1:19" ht="15" thickBot="1" x14ac:dyDescent="0.4">
      <c r="A11" s="43" t="s">
        <v>10</v>
      </c>
      <c r="B11" s="43"/>
      <c r="C11" s="42" t="s">
        <v>11</v>
      </c>
      <c r="E11" s="46" t="s">
        <v>12</v>
      </c>
      <c r="F11" s="46"/>
      <c r="G11" s="46"/>
      <c r="H11" s="46"/>
      <c r="I11" s="46"/>
      <c r="J11" s="46"/>
      <c r="K11" s="46"/>
      <c r="L11" s="46"/>
      <c r="M11" s="28">
        <v>211086</v>
      </c>
      <c r="N11" s="25"/>
      <c r="O11" s="27" t="str">
        <f>VLOOKUP(C11,ChannelTrackingValues!I4:J18,2,)</f>
        <v>PUL</v>
      </c>
      <c r="P11" s="25"/>
      <c r="Q11" s="25"/>
      <c r="R11" s="28" t="str">
        <f>O11&amp;""&amp;M11&amp;"-_-"</f>
        <v>PUL211086-_-</v>
      </c>
    </row>
    <row r="12" spans="1:19" ht="15" thickBot="1" x14ac:dyDescent="0.4"/>
    <row r="13" spans="1:19" ht="15" thickBot="1" x14ac:dyDescent="0.4">
      <c r="A13" s="43" t="s">
        <v>13</v>
      </c>
      <c r="C13" s="27" t="s">
        <v>109</v>
      </c>
      <c r="R13" s="28" t="str">
        <f>VLOOKUP(C13,ChannelTrackingValues!K4:L24,2,FALSE)</f>
        <v>HU-_-</v>
      </c>
    </row>
    <row r="14" spans="1:19" ht="15" thickBot="1" x14ac:dyDescent="0.4"/>
    <row r="15" spans="1:19" ht="15" thickBot="1" x14ac:dyDescent="0.4">
      <c r="A15" s="43" t="s">
        <v>15</v>
      </c>
      <c r="C15" s="42" t="s">
        <v>16</v>
      </c>
      <c r="R15" s="45" t="str">
        <f>VLOOKUP(C15,ChannelTrackingValues!M4:N9,2,FALSE)</f>
        <v>ASM-_-</v>
      </c>
    </row>
    <row r="16" spans="1:19" ht="15" thickBot="1" x14ac:dyDescent="0.4"/>
    <row r="17" spans="1:27" ht="15" thickBot="1" x14ac:dyDescent="0.4">
      <c r="A17" s="43" t="s">
        <v>17</v>
      </c>
      <c r="C17" s="27"/>
      <c r="R17" s="28" t="e">
        <f>VLOOKUP(C17,ChannelTrackingValues!O4:P29,2,FALSE)</f>
        <v>#N/A</v>
      </c>
    </row>
    <row r="18" spans="1:27" ht="15" thickBot="1" x14ac:dyDescent="0.4"/>
    <row r="19" spans="1:27" ht="15" thickBot="1" x14ac:dyDescent="0.4">
      <c r="A19" s="47" t="s">
        <v>19</v>
      </c>
      <c r="C19" s="42"/>
      <c r="D19" s="48" t="s">
        <v>20</v>
      </c>
      <c r="E19" s="49" t="s">
        <v>21</v>
      </c>
      <c r="F19" s="49"/>
      <c r="G19" s="49"/>
      <c r="H19" s="49"/>
      <c r="I19" s="49"/>
      <c r="J19" s="49"/>
      <c r="K19" s="49"/>
      <c r="L19" s="49"/>
      <c r="M19" s="49"/>
    </row>
    <row r="20" spans="1:27" ht="15" thickBot="1" x14ac:dyDescent="0.4">
      <c r="D20" s="35"/>
    </row>
    <row r="21" spans="1:27" ht="15" thickBot="1" x14ac:dyDescent="0.4">
      <c r="A21" s="43" t="s">
        <v>22</v>
      </c>
      <c r="C21" s="36" t="e">
        <f>"?cmp="&amp;R3&amp;R5&amp;R7&amp;R9&amp;R11&amp;R13&amp;R15&amp;R17&amp;C19</f>
        <v>#N/A</v>
      </c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8"/>
    </row>
    <row r="22" spans="1:27" x14ac:dyDescent="0.35">
      <c r="C22" s="31"/>
    </row>
    <row r="23" spans="1:27" x14ac:dyDescent="0.35">
      <c r="B23" s="26"/>
      <c r="W23" s="29"/>
      <c r="X23" s="29"/>
      <c r="Y23" s="29"/>
      <c r="Z23" s="29"/>
      <c r="AA23" s="29"/>
    </row>
    <row r="24" spans="1:27" x14ac:dyDescent="0.35">
      <c r="B24" s="26"/>
      <c r="P24" s="25"/>
      <c r="Q24" s="25"/>
      <c r="V24" s="29"/>
      <c r="W24" s="29"/>
      <c r="X24" s="29"/>
      <c r="Y24" s="29"/>
      <c r="Z24" s="29"/>
    </row>
    <row r="25" spans="1:27" x14ac:dyDescent="0.35">
      <c r="B25" s="26"/>
      <c r="P25" s="25"/>
      <c r="Q25" s="25"/>
    </row>
    <row r="26" spans="1:27" x14ac:dyDescent="0.35">
      <c r="P26" s="25"/>
      <c r="Q26" s="25"/>
    </row>
  </sheetData>
  <mergeCells count="1">
    <mergeCell ref="E19:M19"/>
  </mergeCells>
  <conditionalFormatting sqref="C3:Q3 C5:Q5">
    <cfRule type="expression" dxfId="1" priority="16">
      <formula>#REF!=""</formula>
    </cfRule>
    <cfRule type="expression" dxfId="0" priority="17">
      <formula>#REF!="Market Level"</formula>
    </cfRule>
  </conditionalFormatting>
  <pageMargins left="0.7" right="0.7" top="0.75" bottom="0.75" header="0.3" footer="0.3"/>
  <pageSetup orientation="portrait" r:id="rId1"/>
  <customProperties>
    <customPr name="ORB_SHEETNAME" r:id="rId2"/>
    <customPr name="RB_CASE" r:id="rId3"/>
    <customPr name="RB_COMPANY" r:id="rId4"/>
    <customPr name="RB_DECIMAL_SEPARATOR" r:id="rId5"/>
    <customPr name="RB_PATH_SEPARATOR" r:id="rId6"/>
    <customPr name="RB_THOUSAND_SEPARATOR" r:id="rId7"/>
    <customPr name="RB_WORKBOOK_DATARECENCY_CURRENT" r:id="rId8"/>
    <customPr name="RB_WORKBOOK_VERSION" r:id="rId9"/>
  </customProperties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NewFormMacro">
                <anchor moveWithCells="1" sizeWithCells="1">
                  <from>
                    <xdr:col>2</xdr:col>
                    <xdr:colOff>1270000</xdr:colOff>
                    <xdr:row>22</xdr:row>
                    <xdr:rowOff>0</xdr:rowOff>
                  </from>
                  <to>
                    <xdr:col>12</xdr:col>
                    <xdr:colOff>952500</xdr:colOff>
                    <xdr:row>24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ECED25DD-6DB8-484E-962B-CB88C2EA0CC9}">
          <x14:formula1>
            <xm:f>ChannelTrackingValues!$C$5:$C$8</xm:f>
          </x14:formula1>
          <xm:sqref>D5</xm:sqref>
        </x14:dataValidation>
        <x14:dataValidation type="list" allowBlank="1" showInputMessage="1" showErrorMessage="1" xr:uid="{E4F8A235-ED04-4CF1-B407-72EAD562E49B}">
          <x14:formula1>
            <xm:f>ChannelTrackingValues!$I$5:$I$18</xm:f>
          </x14:formula1>
          <xm:sqref>D10</xm:sqref>
        </x14:dataValidation>
        <x14:dataValidation type="list" allowBlank="1" showInputMessage="1" showErrorMessage="1" xr:uid="{630E1DAE-B2EC-46C3-8FFB-DAAB958B7C61}">
          <x14:formula1>
            <xm:f>ChannelTrackingValues!$K$4:$K$24</xm:f>
          </x14:formula1>
          <xm:sqref>C13</xm:sqref>
        </x14:dataValidation>
        <x14:dataValidation type="list" showInputMessage="1" showErrorMessage="1" xr:uid="{D5BF34BC-110A-48DD-B1F7-367004F33E27}">
          <x14:formula1>
            <xm:f>ChannelTrackingValues!$C$4:$C$24</xm:f>
          </x14:formula1>
          <xm:sqref>C5</xm:sqref>
        </x14:dataValidation>
        <x14:dataValidation type="list" allowBlank="1" showInputMessage="1" showErrorMessage="1" xr:uid="{0A605C21-56E4-4FC5-8009-C887175BEA7E}">
          <x14:formula1>
            <xm:f>ChannelTrackingValues!$I$4:$I$18</xm:f>
          </x14:formula1>
          <xm:sqref>C11</xm:sqref>
        </x14:dataValidation>
        <x14:dataValidation type="list" allowBlank="1" showInputMessage="1" showErrorMessage="1" xr:uid="{24100CFB-4FEB-4AA3-B9F1-E145CEE5B7DC}">
          <x14:formula1>
            <xm:f>ChannelTrackingValues!$M$4:$M$9</xm:f>
          </x14:formula1>
          <xm:sqref>C15</xm:sqref>
        </x14:dataValidation>
        <x14:dataValidation type="list" allowBlank="1" showInputMessage="1" showErrorMessage="1" xr:uid="{5AE6C5F2-7119-45BB-B3AF-498D7CF9E4A3}">
          <x14:formula1>
            <xm:f>ChannelTrackingValues!$A$4:$A$21</xm:f>
          </x14:formula1>
          <xm:sqref>C3</xm:sqref>
        </x14:dataValidation>
        <x14:dataValidation type="list" allowBlank="1" showInputMessage="1" showErrorMessage="1" xr:uid="{54C10481-E8BF-49CD-B763-6D45A37B90AF}">
          <x14:formula1>
            <xm:f>ChannelTrackingValues!$O$4:$O$29</xm:f>
          </x14:formula1>
          <xm:sqref>C17</xm:sqref>
        </x14:dataValidation>
        <x14:dataValidation type="list" allowBlank="1" showInputMessage="1" showErrorMessage="1" xr:uid="{B15F080F-79CA-4092-A922-C1F1D775A3AE}">
          <x14:formula1>
            <xm:f>ChannelTrackingValues!$G$5:$G$64</xm:f>
          </x14:formula1>
          <xm:sqref>D8</xm:sqref>
        </x14:dataValidation>
        <x14:dataValidation type="list" allowBlank="1" showInputMessage="1" showErrorMessage="1" xr:uid="{A85B7CB8-DABE-4926-862E-C59CB24AF53B}">
          <x14:formula1>
            <xm:f>ChannelTrackingValues!$G$4:$G$85</xm:f>
          </x14:formula1>
          <xm:sqref>C9</xm:sqref>
        </x14:dataValidation>
        <x14:dataValidation type="list" allowBlank="1" showInputMessage="1" showErrorMessage="1" xr:uid="{505D37FA-673B-4ED0-B2D6-EF0C76299561}">
          <x14:formula1>
            <xm:f>ChannelTrackingValues!$E$4:$E$39</xm:f>
          </x14:formula1>
          <xm:sqref>C7</xm:sqref>
        </x14:dataValidation>
        <x14:dataValidation type="list" allowBlank="1" showInputMessage="1" showErrorMessage="1" xr:uid="{0A9A0CE2-D0B2-4C45-AE4C-56EB33AE22E2}">
          <x14:formula1>
            <xm:f>ChannelTrackingValues!F5:F9</xm:f>
          </x14:formula1>
          <xm:sqref>O5:Q5</xm:sqref>
        </x14:dataValidation>
        <x14:dataValidation type="list" allowBlank="1" showInputMessage="1" showErrorMessage="1" xr:uid="{D5137304-947A-40F0-A00F-E93311710350}">
          <x14:formula1>
            <xm:f>ChannelTrackingValues!E5:E9</xm:f>
          </x14:formula1>
          <xm:sqref>M5:N5</xm:sqref>
        </x14:dataValidation>
        <x14:dataValidation type="list" allowBlank="1" showInputMessage="1" showErrorMessage="1" xr:uid="{31FDB3D8-97BB-4FB9-B960-8AC3BC2F8A3F}">
          <x14:formula1>
            <xm:f>ChannelTrackingValues!D5:D8</xm:f>
          </x14:formula1>
          <xm:sqref>E5:L5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R85"/>
  <sheetViews>
    <sheetView zoomScale="85" zoomScaleNormal="85" workbookViewId="0">
      <selection activeCell="A7" sqref="A7"/>
    </sheetView>
  </sheetViews>
  <sheetFormatPr defaultColWidth="14.453125" defaultRowHeight="15.75" customHeight="1" x14ac:dyDescent="0.25"/>
  <cols>
    <col min="1" max="1" width="30.453125" style="21" customWidth="1"/>
    <col min="2" max="2" width="14.453125" style="21"/>
    <col min="3" max="3" width="33.7265625" style="21" customWidth="1"/>
    <col min="4" max="4" width="14.453125" style="21"/>
    <col min="5" max="5" width="20.453125" style="21" bestFit="1" customWidth="1"/>
    <col min="6" max="6" width="20.453125" style="21" customWidth="1"/>
    <col min="7" max="7" width="23" style="21" bestFit="1" customWidth="1"/>
    <col min="8" max="8" width="14.453125" style="21"/>
    <col min="9" max="9" width="26.453125" style="21" bestFit="1" customWidth="1"/>
    <col min="10" max="10" width="17.453125" style="21" customWidth="1"/>
    <col min="11" max="11" width="31.81640625" style="21" bestFit="1" customWidth="1"/>
    <col min="12" max="14" width="13.453125" style="21" bestFit="1" customWidth="1"/>
    <col min="15" max="15" width="22.453125" style="21" bestFit="1" customWidth="1"/>
    <col min="16" max="16" width="22.453125" style="21" customWidth="1"/>
    <col min="17" max="17" width="19.1796875" style="21" bestFit="1" customWidth="1"/>
    <col min="18" max="18" width="22.81640625" style="21" bestFit="1" customWidth="1"/>
    <col min="19" max="16384" width="14.453125" style="21"/>
  </cols>
  <sheetData>
    <row r="1" spans="1:18" ht="69" customHeight="1" x14ac:dyDescent="0.25">
      <c r="A1" s="52" t="s">
        <v>23</v>
      </c>
      <c r="B1" s="51"/>
      <c r="C1" s="53" t="s">
        <v>4</v>
      </c>
      <c r="D1" s="54"/>
      <c r="E1" s="52" t="s">
        <v>6</v>
      </c>
      <c r="F1" s="52"/>
      <c r="G1" s="50" t="s">
        <v>24</v>
      </c>
      <c r="H1" s="50"/>
      <c r="I1" s="52" t="s">
        <v>25</v>
      </c>
      <c r="J1" s="52"/>
      <c r="K1" s="50" t="s">
        <v>26</v>
      </c>
      <c r="L1" s="50"/>
      <c r="M1" s="53" t="s">
        <v>15</v>
      </c>
      <c r="N1" s="54"/>
      <c r="O1" s="50" t="s">
        <v>27</v>
      </c>
      <c r="P1" s="50"/>
      <c r="Q1" s="50" t="s">
        <v>28</v>
      </c>
      <c r="R1" s="51"/>
    </row>
    <row r="2" spans="1:18" ht="14" x14ac:dyDescent="0.25">
      <c r="A2" s="21" t="s">
        <v>29</v>
      </c>
    </row>
    <row r="3" spans="1:18" ht="14" x14ac:dyDescent="0.25">
      <c r="A3" s="22" t="s">
        <v>0</v>
      </c>
      <c r="B3" s="22" t="s">
        <v>1</v>
      </c>
      <c r="C3" s="22" t="s">
        <v>0</v>
      </c>
      <c r="D3" s="22" t="s">
        <v>1</v>
      </c>
      <c r="E3" s="22" t="s">
        <v>0</v>
      </c>
      <c r="F3" s="22" t="s">
        <v>1</v>
      </c>
      <c r="G3" s="22" t="s">
        <v>0</v>
      </c>
      <c r="H3" s="22" t="s">
        <v>1</v>
      </c>
      <c r="I3" s="22" t="s">
        <v>0</v>
      </c>
      <c r="J3" s="22" t="s">
        <v>1</v>
      </c>
      <c r="K3" s="22" t="s">
        <v>0</v>
      </c>
      <c r="L3" s="22" t="s">
        <v>1</v>
      </c>
      <c r="M3" s="22" t="s">
        <v>0</v>
      </c>
      <c r="N3" s="22" t="s">
        <v>1</v>
      </c>
      <c r="O3" s="22" t="s">
        <v>0</v>
      </c>
      <c r="P3" s="22" t="s">
        <v>1</v>
      </c>
      <c r="Q3" s="22" t="s">
        <v>30</v>
      </c>
      <c r="R3" s="22" t="s">
        <v>31</v>
      </c>
    </row>
    <row r="4" spans="1:18" ht="14" x14ac:dyDescent="0.25">
      <c r="A4" s="21" t="s">
        <v>32</v>
      </c>
      <c r="B4" s="21" t="s">
        <v>33</v>
      </c>
      <c r="C4" s="21" t="s">
        <v>32</v>
      </c>
      <c r="D4" s="21" t="s">
        <v>33</v>
      </c>
      <c r="E4" s="21" t="s">
        <v>32</v>
      </c>
      <c r="F4" s="21" t="s">
        <v>33</v>
      </c>
      <c r="G4" s="21" t="s">
        <v>32</v>
      </c>
      <c r="H4" s="21" t="s">
        <v>33</v>
      </c>
      <c r="I4" s="21" t="s">
        <v>32</v>
      </c>
      <c r="J4" s="21" t="s">
        <v>34</v>
      </c>
      <c r="K4" s="21" t="s">
        <v>32</v>
      </c>
      <c r="L4" s="21" t="s">
        <v>33</v>
      </c>
      <c r="M4" s="21" t="s">
        <v>32</v>
      </c>
      <c r="N4" s="21" t="s">
        <v>33</v>
      </c>
      <c r="O4" s="21" t="s">
        <v>32</v>
      </c>
      <c r="P4" s="21" t="s">
        <v>33</v>
      </c>
      <c r="Q4" s="21" t="s">
        <v>32</v>
      </c>
      <c r="R4" s="21" t="s">
        <v>33</v>
      </c>
    </row>
    <row r="5" spans="1:18" ht="14" x14ac:dyDescent="0.25">
      <c r="A5" s="21" t="s">
        <v>35</v>
      </c>
      <c r="B5" s="21" t="s">
        <v>36</v>
      </c>
      <c r="C5" s="21" t="s">
        <v>37</v>
      </c>
      <c r="D5" s="21" t="s">
        <v>38</v>
      </c>
      <c r="E5" s="23" t="s">
        <v>39</v>
      </c>
      <c r="F5" s="23" t="s">
        <v>40</v>
      </c>
      <c r="G5" s="21" t="s">
        <v>41</v>
      </c>
      <c r="H5" s="21" t="s">
        <v>42</v>
      </c>
      <c r="I5" s="21" t="s">
        <v>11</v>
      </c>
      <c r="J5" s="21" t="s">
        <v>43</v>
      </c>
      <c r="K5" s="21" t="s">
        <v>44</v>
      </c>
      <c r="L5" s="21" t="s">
        <v>45</v>
      </c>
      <c r="M5" s="21" t="s">
        <v>46</v>
      </c>
      <c r="N5" s="21" t="s">
        <v>47</v>
      </c>
      <c r="O5" s="23" t="s">
        <v>48</v>
      </c>
      <c r="P5" s="23" t="s">
        <v>49</v>
      </c>
      <c r="Q5" s="21" t="s">
        <v>50</v>
      </c>
      <c r="R5" s="21" t="s">
        <v>51</v>
      </c>
    </row>
    <row r="6" spans="1:18" ht="14" x14ac:dyDescent="0.25">
      <c r="A6" s="21" t="s">
        <v>52</v>
      </c>
      <c r="B6" s="21" t="s">
        <v>53</v>
      </c>
      <c r="C6" s="21" t="s">
        <v>54</v>
      </c>
      <c r="D6" s="21" t="s">
        <v>55</v>
      </c>
      <c r="E6" s="21" t="s">
        <v>56</v>
      </c>
      <c r="F6" s="21" t="s">
        <v>57</v>
      </c>
      <c r="G6" s="23" t="s">
        <v>58</v>
      </c>
      <c r="H6" s="23" t="s">
        <v>59</v>
      </c>
      <c r="I6" s="21" t="s">
        <v>60</v>
      </c>
      <c r="J6" s="21" t="s">
        <v>61</v>
      </c>
      <c r="K6" s="23" t="s">
        <v>14</v>
      </c>
      <c r="L6" s="23" t="s">
        <v>62</v>
      </c>
      <c r="M6" s="21" t="s">
        <v>63</v>
      </c>
      <c r="N6" s="21" t="s">
        <v>64</v>
      </c>
      <c r="O6" s="21" t="s">
        <v>65</v>
      </c>
      <c r="P6" s="21" t="s">
        <v>66</v>
      </c>
      <c r="Q6" s="21" t="s">
        <v>67</v>
      </c>
      <c r="R6" s="21" t="s">
        <v>68</v>
      </c>
    </row>
    <row r="7" spans="1:18" ht="14" x14ac:dyDescent="0.25">
      <c r="A7" s="21" t="s">
        <v>3</v>
      </c>
      <c r="B7" s="21" t="s">
        <v>69</v>
      </c>
      <c r="C7" s="21" t="s">
        <v>70</v>
      </c>
      <c r="D7" s="21" t="s">
        <v>71</v>
      </c>
      <c r="E7" s="21" t="s">
        <v>72</v>
      </c>
      <c r="F7" s="21" t="s">
        <v>73</v>
      </c>
      <c r="G7" s="23" t="s">
        <v>74</v>
      </c>
      <c r="H7" s="23" t="s">
        <v>75</v>
      </c>
      <c r="I7" s="21" t="s">
        <v>76</v>
      </c>
      <c r="J7" s="21" t="s">
        <v>77</v>
      </c>
      <c r="K7" s="21" t="s">
        <v>78</v>
      </c>
      <c r="L7" s="21" t="s">
        <v>79</v>
      </c>
      <c r="M7" s="21" t="s">
        <v>16</v>
      </c>
      <c r="N7" s="21" t="s">
        <v>80</v>
      </c>
      <c r="O7" s="21" t="s">
        <v>81</v>
      </c>
      <c r="P7" s="21" t="s">
        <v>82</v>
      </c>
      <c r="Q7" s="21" t="s">
        <v>83</v>
      </c>
      <c r="R7" s="21" t="s">
        <v>84</v>
      </c>
    </row>
    <row r="8" spans="1:18" ht="14" x14ac:dyDescent="0.25">
      <c r="A8" s="21" t="s">
        <v>85</v>
      </c>
      <c r="B8" s="21" t="s">
        <v>86</v>
      </c>
      <c r="C8" s="21" t="s">
        <v>87</v>
      </c>
      <c r="D8" s="21" t="s">
        <v>88</v>
      </c>
      <c r="E8" s="23" t="s">
        <v>7</v>
      </c>
      <c r="F8" s="23" t="s">
        <v>89</v>
      </c>
      <c r="G8" s="23" t="s">
        <v>90</v>
      </c>
      <c r="H8" s="23" t="s">
        <v>57</v>
      </c>
      <c r="I8" s="21" t="s">
        <v>91</v>
      </c>
      <c r="J8" s="21" t="s">
        <v>92</v>
      </c>
      <c r="K8" s="21" t="s">
        <v>93</v>
      </c>
      <c r="L8" s="21" t="s">
        <v>94</v>
      </c>
      <c r="M8" s="21" t="s">
        <v>95</v>
      </c>
      <c r="N8" s="21" t="s">
        <v>96</v>
      </c>
      <c r="O8" s="21" t="s">
        <v>97</v>
      </c>
      <c r="P8" s="21" t="s">
        <v>98</v>
      </c>
      <c r="Q8" s="21" t="s">
        <v>99</v>
      </c>
    </row>
    <row r="9" spans="1:18" ht="14" x14ac:dyDescent="0.25">
      <c r="A9" s="21" t="s">
        <v>100</v>
      </c>
      <c r="B9" s="21" t="s">
        <v>101</v>
      </c>
      <c r="C9" s="21" t="s">
        <v>5</v>
      </c>
      <c r="D9" s="21" t="s">
        <v>102</v>
      </c>
      <c r="E9" s="21" t="s">
        <v>103</v>
      </c>
      <c r="F9" s="21" t="s">
        <v>104</v>
      </c>
      <c r="G9" s="23" t="s">
        <v>105</v>
      </c>
      <c r="H9" s="23" t="s">
        <v>106</v>
      </c>
      <c r="I9" s="21" t="s">
        <v>107</v>
      </c>
      <c r="J9" s="21" t="s">
        <v>108</v>
      </c>
      <c r="K9" s="21" t="s">
        <v>109</v>
      </c>
      <c r="L9" s="21" t="s">
        <v>110</v>
      </c>
      <c r="M9" s="21" t="s">
        <v>111</v>
      </c>
      <c r="N9" s="21" t="s">
        <v>112</v>
      </c>
      <c r="O9" s="23" t="s">
        <v>18</v>
      </c>
      <c r="P9" s="23" t="s">
        <v>113</v>
      </c>
    </row>
    <row r="10" spans="1:18" ht="14" x14ac:dyDescent="0.25">
      <c r="A10" s="21" t="s">
        <v>114</v>
      </c>
      <c r="B10" s="21" t="s">
        <v>115</v>
      </c>
      <c r="C10" s="21" t="s">
        <v>116</v>
      </c>
      <c r="D10" s="21" t="s">
        <v>117</v>
      </c>
      <c r="E10" s="21" t="s">
        <v>118</v>
      </c>
      <c r="F10" s="21" t="s">
        <v>119</v>
      </c>
      <c r="G10" s="23" t="s">
        <v>120</v>
      </c>
      <c r="H10" s="23" t="s">
        <v>121</v>
      </c>
      <c r="I10" s="21" t="s">
        <v>122</v>
      </c>
      <c r="J10" s="21" t="s">
        <v>123</v>
      </c>
      <c r="K10" s="21" t="s">
        <v>124</v>
      </c>
      <c r="L10" s="21" t="s">
        <v>125</v>
      </c>
      <c r="O10" s="21" t="s">
        <v>126</v>
      </c>
      <c r="P10" s="21" t="s">
        <v>127</v>
      </c>
    </row>
    <row r="11" spans="1:18" ht="14" x14ac:dyDescent="0.25">
      <c r="A11" s="21" t="s">
        <v>128</v>
      </c>
      <c r="B11" s="21" t="s">
        <v>129</v>
      </c>
      <c r="C11" s="21" t="s">
        <v>130</v>
      </c>
      <c r="D11" s="21" t="s">
        <v>131</v>
      </c>
      <c r="E11" s="21" t="s">
        <v>132</v>
      </c>
      <c r="F11" s="21" t="s">
        <v>133</v>
      </c>
      <c r="G11" s="21" t="s">
        <v>134</v>
      </c>
      <c r="H11" s="21" t="s">
        <v>135</v>
      </c>
      <c r="I11" s="21" t="s">
        <v>136</v>
      </c>
      <c r="J11" s="21" t="s">
        <v>137</v>
      </c>
      <c r="K11" s="24" t="s">
        <v>138</v>
      </c>
      <c r="L11" s="24" t="s">
        <v>139</v>
      </c>
      <c r="O11" s="21" t="s">
        <v>140</v>
      </c>
      <c r="P11" s="21" t="s">
        <v>141</v>
      </c>
    </row>
    <row r="12" spans="1:18" ht="14" x14ac:dyDescent="0.25">
      <c r="A12" s="21" t="s">
        <v>142</v>
      </c>
      <c r="B12" s="21" t="s">
        <v>143</v>
      </c>
      <c r="C12" s="21" t="s">
        <v>144</v>
      </c>
      <c r="D12" s="21" t="s">
        <v>129</v>
      </c>
      <c r="E12" s="21" t="s">
        <v>145</v>
      </c>
      <c r="F12" s="21" t="s">
        <v>146</v>
      </c>
      <c r="G12" s="23" t="s">
        <v>147</v>
      </c>
      <c r="H12" s="23" t="s">
        <v>148</v>
      </c>
      <c r="I12" s="21" t="s">
        <v>149</v>
      </c>
      <c r="J12" s="21" t="s">
        <v>150</v>
      </c>
      <c r="K12" s="23" t="s">
        <v>151</v>
      </c>
      <c r="L12" s="23" t="s">
        <v>152</v>
      </c>
      <c r="O12" s="21" t="s">
        <v>153</v>
      </c>
      <c r="P12" s="21" t="s">
        <v>154</v>
      </c>
    </row>
    <row r="13" spans="1:18" ht="14" x14ac:dyDescent="0.25">
      <c r="A13" s="21" t="s">
        <v>155</v>
      </c>
      <c r="B13" s="21" t="s">
        <v>156</v>
      </c>
      <c r="C13" s="21" t="s">
        <v>157</v>
      </c>
      <c r="D13" s="21" t="s">
        <v>158</v>
      </c>
      <c r="E13" s="21" t="s">
        <v>159</v>
      </c>
      <c r="F13" s="21" t="s">
        <v>160</v>
      </c>
      <c r="G13" s="23" t="s">
        <v>161</v>
      </c>
      <c r="H13" s="23" t="s">
        <v>162</v>
      </c>
      <c r="I13" s="21" t="s">
        <v>163</v>
      </c>
      <c r="J13" s="21" t="s">
        <v>164</v>
      </c>
      <c r="K13" s="24" t="s">
        <v>165</v>
      </c>
      <c r="L13" s="24" t="s">
        <v>166</v>
      </c>
      <c r="O13" s="21" t="s">
        <v>167</v>
      </c>
      <c r="P13" s="21" t="s">
        <v>168</v>
      </c>
    </row>
    <row r="14" spans="1:18" ht="14" x14ac:dyDescent="0.25">
      <c r="A14" s="21" t="s">
        <v>169</v>
      </c>
      <c r="B14" s="21" t="s">
        <v>170</v>
      </c>
      <c r="C14" s="21" t="s">
        <v>171</v>
      </c>
      <c r="D14" s="21" t="s">
        <v>172</v>
      </c>
      <c r="E14" s="23" t="s">
        <v>173</v>
      </c>
      <c r="F14" s="23" t="s">
        <v>174</v>
      </c>
      <c r="G14" s="23" t="s">
        <v>175</v>
      </c>
      <c r="H14" s="23" t="s">
        <v>89</v>
      </c>
      <c r="I14" s="21" t="s">
        <v>176</v>
      </c>
      <c r="J14" s="21" t="s">
        <v>177</v>
      </c>
      <c r="K14" s="23" t="s">
        <v>178</v>
      </c>
      <c r="L14" s="23" t="s">
        <v>179</v>
      </c>
      <c r="O14" s="21" t="s">
        <v>180</v>
      </c>
      <c r="P14" s="21" t="s">
        <v>181</v>
      </c>
    </row>
    <row r="15" spans="1:18" ht="14" x14ac:dyDescent="0.25">
      <c r="A15" s="21" t="s">
        <v>182</v>
      </c>
      <c r="B15" s="21" t="s">
        <v>183</v>
      </c>
      <c r="C15" s="21" t="s">
        <v>184</v>
      </c>
      <c r="D15" s="21" t="s">
        <v>185</v>
      </c>
      <c r="E15" s="23" t="s">
        <v>186</v>
      </c>
      <c r="F15" s="23" t="s">
        <v>187</v>
      </c>
      <c r="G15" s="23" t="s">
        <v>9</v>
      </c>
      <c r="H15" s="23" t="s">
        <v>89</v>
      </c>
      <c r="I15" s="21" t="s">
        <v>188</v>
      </c>
      <c r="J15" s="21" t="s">
        <v>189</v>
      </c>
      <c r="K15" s="23" t="s">
        <v>190</v>
      </c>
      <c r="L15" s="23" t="s">
        <v>191</v>
      </c>
      <c r="O15" s="21" t="s">
        <v>192</v>
      </c>
      <c r="P15" s="21" t="s">
        <v>193</v>
      </c>
    </row>
    <row r="16" spans="1:18" ht="14" x14ac:dyDescent="0.25">
      <c r="A16" s="21" t="s">
        <v>194</v>
      </c>
      <c r="B16" s="21" t="s">
        <v>195</v>
      </c>
      <c r="C16" s="21" t="s">
        <v>196</v>
      </c>
      <c r="D16" s="21" t="s">
        <v>197</v>
      </c>
      <c r="E16" s="23" t="s">
        <v>198</v>
      </c>
      <c r="F16" s="23" t="s">
        <v>199</v>
      </c>
      <c r="G16" s="23" t="s">
        <v>200</v>
      </c>
      <c r="H16" s="23" t="s">
        <v>201</v>
      </c>
      <c r="I16" s="21" t="s">
        <v>202</v>
      </c>
      <c r="J16" s="21" t="s">
        <v>203</v>
      </c>
      <c r="K16" s="23" t="s">
        <v>204</v>
      </c>
      <c r="L16" s="23" t="s">
        <v>205</v>
      </c>
      <c r="O16" s="21" t="s">
        <v>206</v>
      </c>
      <c r="P16" s="21" t="s">
        <v>207</v>
      </c>
    </row>
    <row r="17" spans="1:16" ht="14" x14ac:dyDescent="0.25">
      <c r="A17" s="21" t="s">
        <v>208</v>
      </c>
      <c r="B17" s="21" t="s">
        <v>209</v>
      </c>
      <c r="C17" s="21" t="s">
        <v>210</v>
      </c>
      <c r="D17" s="21" t="s">
        <v>211</v>
      </c>
      <c r="E17" s="23" t="s">
        <v>212</v>
      </c>
      <c r="F17" s="23" t="s">
        <v>213</v>
      </c>
      <c r="G17" s="23" t="s">
        <v>214</v>
      </c>
      <c r="H17" s="23" t="s">
        <v>215</v>
      </c>
      <c r="I17" s="21" t="s">
        <v>216</v>
      </c>
      <c r="J17" s="21" t="s">
        <v>217</v>
      </c>
      <c r="K17" s="21" t="s">
        <v>218</v>
      </c>
      <c r="L17" s="21" t="s">
        <v>219</v>
      </c>
      <c r="O17" s="23" t="s">
        <v>220</v>
      </c>
      <c r="P17" s="23" t="s">
        <v>221</v>
      </c>
    </row>
    <row r="18" spans="1:16" ht="14" x14ac:dyDescent="0.25">
      <c r="A18" s="21" t="s">
        <v>222</v>
      </c>
      <c r="B18" s="21" t="s">
        <v>223</v>
      </c>
      <c r="C18" s="21" t="s">
        <v>224</v>
      </c>
      <c r="D18" s="21" t="s">
        <v>225</v>
      </c>
      <c r="E18" s="23" t="s">
        <v>226</v>
      </c>
      <c r="F18" s="23" t="s">
        <v>227</v>
      </c>
      <c r="G18" s="23" t="s">
        <v>228</v>
      </c>
      <c r="H18" s="23" t="s">
        <v>229</v>
      </c>
      <c r="I18" s="21" t="s">
        <v>230</v>
      </c>
      <c r="J18" s="21" t="s">
        <v>231</v>
      </c>
      <c r="K18" s="21" t="s">
        <v>232</v>
      </c>
      <c r="L18" s="21" t="s">
        <v>233</v>
      </c>
      <c r="O18" s="21" t="s">
        <v>234</v>
      </c>
      <c r="P18" s="21" t="s">
        <v>235</v>
      </c>
    </row>
    <row r="19" spans="1:16" ht="15.75" customHeight="1" x14ac:dyDescent="0.25">
      <c r="A19" s="21" t="s">
        <v>236</v>
      </c>
      <c r="B19" s="21" t="s">
        <v>237</v>
      </c>
      <c r="C19" s="21" t="s">
        <v>238</v>
      </c>
      <c r="D19" s="21" t="s">
        <v>110</v>
      </c>
      <c r="E19" s="23" t="s">
        <v>239</v>
      </c>
      <c r="F19" s="23" t="s">
        <v>240</v>
      </c>
      <c r="G19" s="23" t="s">
        <v>241</v>
      </c>
      <c r="H19" s="23" t="s">
        <v>146</v>
      </c>
      <c r="I19" s="21" t="s">
        <v>242</v>
      </c>
      <c r="J19" s="21" t="s">
        <v>243</v>
      </c>
      <c r="K19" s="21" t="s">
        <v>244</v>
      </c>
      <c r="L19" s="21" t="s">
        <v>245</v>
      </c>
      <c r="O19" s="21" t="s">
        <v>246</v>
      </c>
      <c r="P19" s="21" t="s">
        <v>247</v>
      </c>
    </row>
    <row r="20" spans="1:16" ht="15.75" customHeight="1" x14ac:dyDescent="0.25">
      <c r="A20" s="21" t="s">
        <v>248</v>
      </c>
      <c r="B20" s="21" t="s">
        <v>249</v>
      </c>
      <c r="C20" s="21" t="s">
        <v>250</v>
      </c>
      <c r="D20" s="21" t="s">
        <v>251</v>
      </c>
      <c r="E20" s="21" t="s">
        <v>252</v>
      </c>
      <c r="F20" s="21" t="s">
        <v>253</v>
      </c>
      <c r="G20" s="23" t="s">
        <v>254</v>
      </c>
      <c r="H20" s="23" t="s">
        <v>255</v>
      </c>
      <c r="K20" s="21" t="s">
        <v>178</v>
      </c>
      <c r="L20" s="21" t="s">
        <v>179</v>
      </c>
      <c r="O20" s="21" t="s">
        <v>256</v>
      </c>
      <c r="P20" s="21" t="s">
        <v>257</v>
      </c>
    </row>
    <row r="21" spans="1:16" ht="15.75" customHeight="1" x14ac:dyDescent="0.25">
      <c r="A21" s="21" t="s">
        <v>258</v>
      </c>
      <c r="B21" s="21" t="s">
        <v>259</v>
      </c>
      <c r="C21" s="21" t="s">
        <v>260</v>
      </c>
      <c r="D21" s="21" t="s">
        <v>261</v>
      </c>
      <c r="E21" s="23" t="s">
        <v>262</v>
      </c>
      <c r="F21" s="23" t="s">
        <v>263</v>
      </c>
      <c r="G21" s="21" t="s">
        <v>264</v>
      </c>
      <c r="H21" s="21" t="s">
        <v>265</v>
      </c>
      <c r="K21" s="21" t="s">
        <v>266</v>
      </c>
      <c r="L21" s="21" t="s">
        <v>267</v>
      </c>
      <c r="O21" s="21" t="s">
        <v>268</v>
      </c>
      <c r="P21" s="21" t="s">
        <v>269</v>
      </c>
    </row>
    <row r="22" spans="1:16" ht="15.75" customHeight="1" x14ac:dyDescent="0.25">
      <c r="C22" s="21" t="s">
        <v>270</v>
      </c>
      <c r="D22" s="21" t="s">
        <v>271</v>
      </c>
      <c r="E22" s="23" t="s">
        <v>272</v>
      </c>
      <c r="F22" s="23" t="s">
        <v>273</v>
      </c>
      <c r="G22" s="23" t="s">
        <v>274</v>
      </c>
      <c r="H22" s="23" t="s">
        <v>174</v>
      </c>
      <c r="K22" s="21" t="s">
        <v>275</v>
      </c>
      <c r="L22" s="21" t="s">
        <v>276</v>
      </c>
      <c r="O22" s="21" t="s">
        <v>277</v>
      </c>
      <c r="P22" s="21" t="s">
        <v>278</v>
      </c>
    </row>
    <row r="23" spans="1:16" ht="15.75" customHeight="1" x14ac:dyDescent="0.25">
      <c r="C23" s="21" t="s">
        <v>279</v>
      </c>
      <c r="D23" s="21" t="s">
        <v>280</v>
      </c>
      <c r="E23" s="23" t="s">
        <v>281</v>
      </c>
      <c r="F23" s="23" t="s">
        <v>282</v>
      </c>
      <c r="G23" s="23" t="s">
        <v>283</v>
      </c>
      <c r="H23" s="23" t="s">
        <v>284</v>
      </c>
      <c r="K23" s="21" t="s">
        <v>285</v>
      </c>
      <c r="L23" s="21" t="s">
        <v>286</v>
      </c>
      <c r="O23" s="21" t="s">
        <v>287</v>
      </c>
      <c r="P23" s="21" t="s">
        <v>288</v>
      </c>
    </row>
    <row r="24" spans="1:16" ht="15.75" customHeight="1" x14ac:dyDescent="0.25">
      <c r="C24" s="21" t="s">
        <v>289</v>
      </c>
      <c r="D24" s="21" t="s">
        <v>290</v>
      </c>
      <c r="E24" s="21" t="s">
        <v>291</v>
      </c>
      <c r="F24" s="21" t="s">
        <v>292</v>
      </c>
      <c r="G24" s="23" t="s">
        <v>293</v>
      </c>
      <c r="H24" s="23" t="s">
        <v>294</v>
      </c>
      <c r="K24" s="21" t="s">
        <v>295</v>
      </c>
      <c r="L24" s="21" t="s">
        <v>296</v>
      </c>
      <c r="O24" s="21" t="s">
        <v>297</v>
      </c>
      <c r="P24" s="21" t="s">
        <v>298</v>
      </c>
    </row>
    <row r="25" spans="1:16" ht="15.75" customHeight="1" x14ac:dyDescent="0.25">
      <c r="E25" s="23" t="s">
        <v>299</v>
      </c>
      <c r="F25" s="23" t="s">
        <v>300</v>
      </c>
      <c r="G25" s="23" t="s">
        <v>301</v>
      </c>
      <c r="H25" s="23" t="s">
        <v>302</v>
      </c>
      <c r="K25" s="24"/>
      <c r="L25" s="24"/>
      <c r="O25" s="21" t="s">
        <v>303</v>
      </c>
      <c r="P25" s="21" t="s">
        <v>304</v>
      </c>
    </row>
    <row r="26" spans="1:16" ht="15.75" customHeight="1" x14ac:dyDescent="0.25">
      <c r="E26" s="23" t="s">
        <v>305</v>
      </c>
      <c r="F26" s="23" t="s">
        <v>306</v>
      </c>
      <c r="G26" s="23" t="s">
        <v>307</v>
      </c>
      <c r="H26" s="23" t="s">
        <v>308</v>
      </c>
      <c r="K26" s="23"/>
      <c r="L26" s="23"/>
      <c r="O26" s="21" t="s">
        <v>309</v>
      </c>
      <c r="P26" s="21" t="s">
        <v>310</v>
      </c>
    </row>
    <row r="27" spans="1:16" ht="14" x14ac:dyDescent="0.25">
      <c r="E27" s="23" t="s">
        <v>311</v>
      </c>
      <c r="F27" s="23" t="s">
        <v>312</v>
      </c>
      <c r="G27" s="23" t="s">
        <v>313</v>
      </c>
      <c r="H27" s="23" t="s">
        <v>314</v>
      </c>
      <c r="K27" s="24"/>
      <c r="L27" s="24"/>
      <c r="O27" s="21" t="s">
        <v>315</v>
      </c>
      <c r="P27" s="21" t="s">
        <v>316</v>
      </c>
    </row>
    <row r="28" spans="1:16" ht="14" x14ac:dyDescent="0.25">
      <c r="E28" s="23" t="s">
        <v>317</v>
      </c>
      <c r="F28" s="23" t="s">
        <v>318</v>
      </c>
      <c r="G28" s="21" t="s">
        <v>319</v>
      </c>
      <c r="H28" s="21" t="s">
        <v>320</v>
      </c>
      <c r="K28" s="23"/>
      <c r="L28" s="23"/>
      <c r="O28" s="23" t="s">
        <v>182</v>
      </c>
      <c r="P28" s="23" t="s">
        <v>183</v>
      </c>
    </row>
    <row r="29" spans="1:16" ht="14" x14ac:dyDescent="0.25">
      <c r="E29" s="21" t="s">
        <v>321</v>
      </c>
      <c r="F29" s="23" t="s">
        <v>322</v>
      </c>
      <c r="G29" s="23" t="s">
        <v>323</v>
      </c>
      <c r="H29" s="23" t="s">
        <v>324</v>
      </c>
      <c r="K29" s="23"/>
      <c r="L29" s="23"/>
      <c r="O29" s="23" t="s">
        <v>325</v>
      </c>
      <c r="P29" s="23" t="s">
        <v>326</v>
      </c>
    </row>
    <row r="30" spans="1:16" ht="14" x14ac:dyDescent="0.25">
      <c r="E30" s="23" t="s">
        <v>327</v>
      </c>
      <c r="F30" s="23" t="s">
        <v>328</v>
      </c>
      <c r="G30" s="21" t="s">
        <v>329</v>
      </c>
      <c r="H30" s="21" t="s">
        <v>330</v>
      </c>
      <c r="K30" s="23"/>
      <c r="L30" s="23"/>
    </row>
    <row r="31" spans="1:16" ht="14" x14ac:dyDescent="0.25">
      <c r="E31" s="23" t="s">
        <v>331</v>
      </c>
      <c r="F31" s="23" t="s">
        <v>332</v>
      </c>
      <c r="G31" s="23" t="s">
        <v>333</v>
      </c>
      <c r="H31" s="23" t="s">
        <v>334</v>
      </c>
    </row>
    <row r="32" spans="1:16" ht="14.5" x14ac:dyDescent="0.35">
      <c r="E32" s="23" t="s">
        <v>335</v>
      </c>
      <c r="F32" s="23" t="s">
        <v>336</v>
      </c>
      <c r="G32" s="20" t="s">
        <v>337</v>
      </c>
      <c r="H32" s="21" t="s">
        <v>338</v>
      </c>
    </row>
    <row r="33" spans="5:8" ht="14" x14ac:dyDescent="0.25">
      <c r="E33" s="23" t="s">
        <v>339</v>
      </c>
      <c r="F33" s="23" t="s">
        <v>340</v>
      </c>
      <c r="G33" s="21" t="s">
        <v>341</v>
      </c>
      <c r="H33" s="21" t="s">
        <v>342</v>
      </c>
    </row>
    <row r="34" spans="5:8" ht="14" x14ac:dyDescent="0.25">
      <c r="E34" s="23" t="s">
        <v>343</v>
      </c>
      <c r="F34" s="23" t="s">
        <v>344</v>
      </c>
      <c r="G34" s="23" t="s">
        <v>345</v>
      </c>
      <c r="H34" s="23" t="s">
        <v>346</v>
      </c>
    </row>
    <row r="35" spans="5:8" ht="14" x14ac:dyDescent="0.25">
      <c r="E35" s="23" t="s">
        <v>347</v>
      </c>
      <c r="F35" s="23" t="s">
        <v>348</v>
      </c>
      <c r="G35" s="23" t="s">
        <v>349</v>
      </c>
      <c r="H35" s="23" t="s">
        <v>213</v>
      </c>
    </row>
    <row r="36" spans="5:8" ht="14" x14ac:dyDescent="0.25">
      <c r="E36" s="23" t="s">
        <v>350</v>
      </c>
      <c r="F36" s="23" t="s">
        <v>351</v>
      </c>
      <c r="G36" s="23" t="s">
        <v>352</v>
      </c>
      <c r="H36" s="23" t="s">
        <v>353</v>
      </c>
    </row>
    <row r="37" spans="5:8" ht="14" x14ac:dyDescent="0.25">
      <c r="E37" s="23" t="s">
        <v>354</v>
      </c>
      <c r="F37" s="23" t="s">
        <v>355</v>
      </c>
      <c r="G37" s="23" t="s">
        <v>356</v>
      </c>
      <c r="H37" s="23" t="s">
        <v>357</v>
      </c>
    </row>
    <row r="38" spans="5:8" ht="14" x14ac:dyDescent="0.25">
      <c r="E38" s="23" t="s">
        <v>358</v>
      </c>
      <c r="F38" s="23" t="s">
        <v>359</v>
      </c>
      <c r="G38" s="23" t="s">
        <v>360</v>
      </c>
      <c r="H38" s="23" t="s">
        <v>361</v>
      </c>
    </row>
    <row r="39" spans="5:8" ht="14" x14ac:dyDescent="0.25">
      <c r="E39" s="21" t="s">
        <v>362</v>
      </c>
      <c r="F39" s="21" t="s">
        <v>363</v>
      </c>
      <c r="G39" s="23" t="s">
        <v>364</v>
      </c>
      <c r="H39" s="23" t="s">
        <v>365</v>
      </c>
    </row>
    <row r="40" spans="5:8" ht="14" x14ac:dyDescent="0.25">
      <c r="G40" s="23" t="s">
        <v>366</v>
      </c>
      <c r="H40" s="23" t="s">
        <v>367</v>
      </c>
    </row>
    <row r="41" spans="5:8" ht="14" x14ac:dyDescent="0.25">
      <c r="G41" s="21" t="s">
        <v>368</v>
      </c>
      <c r="H41" s="21" t="s">
        <v>369</v>
      </c>
    </row>
    <row r="42" spans="5:8" ht="14" x14ac:dyDescent="0.25">
      <c r="G42" s="23" t="s">
        <v>370</v>
      </c>
      <c r="H42" s="23" t="s">
        <v>371</v>
      </c>
    </row>
    <row r="43" spans="5:8" ht="14" x14ac:dyDescent="0.25">
      <c r="G43" s="23" t="s">
        <v>372</v>
      </c>
      <c r="H43" s="23" t="s">
        <v>373</v>
      </c>
    </row>
    <row r="44" spans="5:8" ht="14" x14ac:dyDescent="0.25">
      <c r="G44" s="21" t="s">
        <v>374</v>
      </c>
      <c r="H44" s="21" t="s">
        <v>375</v>
      </c>
    </row>
    <row r="45" spans="5:8" ht="14" x14ac:dyDescent="0.25">
      <c r="G45" s="21" t="s">
        <v>376</v>
      </c>
      <c r="H45" s="21" t="s">
        <v>377</v>
      </c>
    </row>
    <row r="46" spans="5:8" ht="14" x14ac:dyDescent="0.25">
      <c r="G46" s="21" t="s">
        <v>378</v>
      </c>
      <c r="H46" s="21" t="s">
        <v>379</v>
      </c>
    </row>
    <row r="47" spans="5:8" ht="14" x14ac:dyDescent="0.25">
      <c r="G47" s="23" t="s">
        <v>380</v>
      </c>
      <c r="H47" s="23" t="s">
        <v>381</v>
      </c>
    </row>
    <row r="48" spans="5:8" ht="14" x14ac:dyDescent="0.25">
      <c r="G48" s="23" t="s">
        <v>382</v>
      </c>
      <c r="H48" s="23" t="s">
        <v>383</v>
      </c>
    </row>
    <row r="49" spans="7:8" ht="14" x14ac:dyDescent="0.25">
      <c r="G49" s="23" t="s">
        <v>384</v>
      </c>
      <c r="H49" s="23" t="s">
        <v>385</v>
      </c>
    </row>
    <row r="50" spans="7:8" ht="14" x14ac:dyDescent="0.25">
      <c r="G50" s="21" t="s">
        <v>386</v>
      </c>
      <c r="H50" s="21" t="s">
        <v>387</v>
      </c>
    </row>
    <row r="51" spans="7:8" ht="14" x14ac:dyDescent="0.25">
      <c r="G51" s="21" t="s">
        <v>388</v>
      </c>
      <c r="H51" s="21" t="s">
        <v>389</v>
      </c>
    </row>
    <row r="52" spans="7:8" ht="14" x14ac:dyDescent="0.25">
      <c r="G52" s="23" t="s">
        <v>390</v>
      </c>
      <c r="H52" s="23" t="s">
        <v>391</v>
      </c>
    </row>
    <row r="53" spans="7:8" ht="14" x14ac:dyDescent="0.25">
      <c r="G53" s="23" t="s">
        <v>392</v>
      </c>
      <c r="H53" s="23" t="s">
        <v>322</v>
      </c>
    </row>
    <row r="54" spans="7:8" ht="14" x14ac:dyDescent="0.25">
      <c r="G54" s="23" t="s">
        <v>393</v>
      </c>
      <c r="H54" s="23" t="s">
        <v>394</v>
      </c>
    </row>
    <row r="55" spans="7:8" ht="14" x14ac:dyDescent="0.25">
      <c r="G55" s="23" t="s">
        <v>395</v>
      </c>
      <c r="H55" s="23" t="s">
        <v>396</v>
      </c>
    </row>
    <row r="56" spans="7:8" ht="14" x14ac:dyDescent="0.25">
      <c r="G56" s="21" t="s">
        <v>397</v>
      </c>
      <c r="H56" s="21" t="s">
        <v>398</v>
      </c>
    </row>
    <row r="57" spans="7:8" ht="14" x14ac:dyDescent="0.25">
      <c r="G57" s="21" t="s">
        <v>399</v>
      </c>
      <c r="H57" s="21" t="s">
        <v>400</v>
      </c>
    </row>
    <row r="58" spans="7:8" ht="14" x14ac:dyDescent="0.25">
      <c r="G58" s="23" t="s">
        <v>401</v>
      </c>
      <c r="H58" s="23" t="s">
        <v>402</v>
      </c>
    </row>
    <row r="59" spans="7:8" ht="14" x14ac:dyDescent="0.25">
      <c r="G59" s="23" t="s">
        <v>403</v>
      </c>
      <c r="H59" s="23" t="s">
        <v>404</v>
      </c>
    </row>
    <row r="60" spans="7:8" ht="14" x14ac:dyDescent="0.25">
      <c r="G60" s="21" t="s">
        <v>405</v>
      </c>
      <c r="H60" s="21" t="s">
        <v>406</v>
      </c>
    </row>
    <row r="61" spans="7:8" ht="15.75" customHeight="1" x14ac:dyDescent="0.25">
      <c r="G61" s="23" t="s">
        <v>407</v>
      </c>
      <c r="H61" s="23" t="s">
        <v>408</v>
      </c>
    </row>
    <row r="62" spans="7:8" ht="15.75" customHeight="1" x14ac:dyDescent="0.25">
      <c r="G62" s="23" t="s">
        <v>409</v>
      </c>
      <c r="H62" s="23" t="s">
        <v>410</v>
      </c>
    </row>
    <row r="63" spans="7:8" ht="15.75" customHeight="1" x14ac:dyDescent="0.25">
      <c r="G63" s="21" t="s">
        <v>411</v>
      </c>
      <c r="H63" s="23" t="s">
        <v>412</v>
      </c>
    </row>
    <row r="64" spans="7:8" ht="15.75" customHeight="1" x14ac:dyDescent="0.25">
      <c r="G64" s="21" t="s">
        <v>413</v>
      </c>
      <c r="H64" s="21" t="s">
        <v>414</v>
      </c>
    </row>
    <row r="65" spans="7:8" ht="15.75" customHeight="1" x14ac:dyDescent="0.25">
      <c r="G65" s="23" t="s">
        <v>415</v>
      </c>
      <c r="H65" s="23" t="s">
        <v>340</v>
      </c>
    </row>
    <row r="66" spans="7:8" ht="15.75" customHeight="1" x14ac:dyDescent="0.25">
      <c r="G66" s="23" t="s">
        <v>416</v>
      </c>
      <c r="H66" s="23" t="s">
        <v>417</v>
      </c>
    </row>
    <row r="67" spans="7:8" ht="15.75" customHeight="1" x14ac:dyDescent="0.25">
      <c r="G67" s="21" t="s">
        <v>418</v>
      </c>
      <c r="H67" s="21" t="s">
        <v>419</v>
      </c>
    </row>
    <row r="68" spans="7:8" ht="15.75" customHeight="1" x14ac:dyDescent="0.25">
      <c r="G68" s="23" t="s">
        <v>420</v>
      </c>
      <c r="H68" s="23" t="s">
        <v>421</v>
      </c>
    </row>
    <row r="69" spans="7:8" ht="15.75" customHeight="1" x14ac:dyDescent="0.25">
      <c r="G69" s="23" t="s">
        <v>422</v>
      </c>
      <c r="H69" s="23" t="s">
        <v>344</v>
      </c>
    </row>
    <row r="70" spans="7:8" ht="15.75" customHeight="1" x14ac:dyDescent="0.25">
      <c r="G70" s="21" t="s">
        <v>423</v>
      </c>
      <c r="H70" s="21" t="s">
        <v>424</v>
      </c>
    </row>
    <row r="71" spans="7:8" ht="15.75" customHeight="1" x14ac:dyDescent="0.25">
      <c r="G71" s="21" t="s">
        <v>425</v>
      </c>
      <c r="H71" s="21" t="s">
        <v>426</v>
      </c>
    </row>
    <row r="72" spans="7:8" ht="15.75" customHeight="1" x14ac:dyDescent="0.25">
      <c r="G72" s="23" t="s">
        <v>427</v>
      </c>
      <c r="H72" s="23" t="s">
        <v>428</v>
      </c>
    </row>
    <row r="73" spans="7:8" ht="15.75" customHeight="1" x14ac:dyDescent="0.25">
      <c r="G73" s="23" t="s">
        <v>429</v>
      </c>
      <c r="H73" s="23" t="s">
        <v>430</v>
      </c>
    </row>
    <row r="74" spans="7:8" ht="15.75" customHeight="1" x14ac:dyDescent="0.25">
      <c r="G74" s="23" t="s">
        <v>431</v>
      </c>
      <c r="H74" s="23" t="s">
        <v>432</v>
      </c>
    </row>
    <row r="75" spans="7:8" ht="15.75" customHeight="1" x14ac:dyDescent="0.25">
      <c r="G75" s="23" t="s">
        <v>433</v>
      </c>
      <c r="H75" s="23" t="s">
        <v>434</v>
      </c>
    </row>
    <row r="76" spans="7:8" ht="15.75" customHeight="1" x14ac:dyDescent="0.25">
      <c r="G76" s="23" t="s">
        <v>435</v>
      </c>
      <c r="H76" s="23" t="s">
        <v>436</v>
      </c>
    </row>
    <row r="77" spans="7:8" ht="15.75" customHeight="1" x14ac:dyDescent="0.25">
      <c r="G77" s="21" t="s">
        <v>437</v>
      </c>
      <c r="H77" s="21" t="s">
        <v>438</v>
      </c>
    </row>
    <row r="78" spans="7:8" ht="15.75" customHeight="1" x14ac:dyDescent="0.25">
      <c r="G78" s="23" t="s">
        <v>439</v>
      </c>
      <c r="H78" s="23" t="s">
        <v>440</v>
      </c>
    </row>
    <row r="79" spans="7:8" ht="15.75" customHeight="1" x14ac:dyDescent="0.25">
      <c r="G79" s="23" t="s">
        <v>441</v>
      </c>
      <c r="H79" s="23" t="s">
        <v>442</v>
      </c>
    </row>
    <row r="80" spans="7:8" ht="15.75" customHeight="1" x14ac:dyDescent="0.25">
      <c r="G80" s="23" t="s">
        <v>443</v>
      </c>
      <c r="H80" s="23" t="s">
        <v>444</v>
      </c>
    </row>
    <row r="81" spans="7:8" ht="15.75" customHeight="1" x14ac:dyDescent="0.25">
      <c r="G81" s="23" t="s">
        <v>445</v>
      </c>
      <c r="H81" s="23" t="s">
        <v>446</v>
      </c>
    </row>
    <row r="82" spans="7:8" ht="15.75" customHeight="1" x14ac:dyDescent="0.25">
      <c r="G82" s="23" t="s">
        <v>447</v>
      </c>
      <c r="H82" s="23" t="s">
        <v>448</v>
      </c>
    </row>
    <row r="83" spans="7:8" ht="15.75" customHeight="1" x14ac:dyDescent="0.25">
      <c r="G83" s="23" t="s">
        <v>449</v>
      </c>
      <c r="H83" s="23" t="s">
        <v>450</v>
      </c>
    </row>
    <row r="84" spans="7:8" ht="15.75" customHeight="1" x14ac:dyDescent="0.25">
      <c r="G84" s="23" t="s">
        <v>299</v>
      </c>
      <c r="H84" s="23" t="s">
        <v>33</v>
      </c>
    </row>
    <row r="85" spans="7:8" ht="15.75" customHeight="1" x14ac:dyDescent="0.25">
      <c r="G85" s="21" t="s">
        <v>451</v>
      </c>
      <c r="H85" s="21" t="s">
        <v>452</v>
      </c>
    </row>
  </sheetData>
  <sortState xmlns:xlrd2="http://schemas.microsoft.com/office/spreadsheetml/2017/richdata2" ref="G6:H80">
    <sortCondition ref="G5"/>
  </sortState>
  <mergeCells count="9">
    <mergeCell ref="Q1:R1"/>
    <mergeCell ref="G1:H1"/>
    <mergeCell ref="O1:P1"/>
    <mergeCell ref="A1:B1"/>
    <mergeCell ref="I1:J1"/>
    <mergeCell ref="E1:F1"/>
    <mergeCell ref="K1:L1"/>
    <mergeCell ref="C1:D1"/>
    <mergeCell ref="M1:N1"/>
  </mergeCells>
  <pageMargins left="0.7" right="0.7" top="0.75" bottom="0.75" header="0.3" footer="0.3"/>
  <pageSetup orientation="portrait" horizontalDpi="200" verticalDpi="200" r:id="rId1"/>
  <customProperties>
    <customPr name="ORB_SHEETNAME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DC1BB-18AA-4413-B9FD-AFA55D90680F}">
  <dimension ref="B2:C28"/>
  <sheetViews>
    <sheetView workbookViewId="0">
      <selection activeCell="G30" sqref="G30"/>
    </sheetView>
  </sheetViews>
  <sheetFormatPr defaultColWidth="8.81640625" defaultRowHeight="12.5" x14ac:dyDescent="0.25"/>
  <cols>
    <col min="2" max="2" width="22.81640625" bestFit="1" customWidth="1"/>
  </cols>
  <sheetData>
    <row r="2" spans="2:3" x14ac:dyDescent="0.25">
      <c r="B2" t="s">
        <v>0</v>
      </c>
      <c r="C2" t="s">
        <v>1</v>
      </c>
    </row>
    <row r="4" spans="2:3" ht="14" x14ac:dyDescent="0.25">
      <c r="B4" s="23" t="s">
        <v>48</v>
      </c>
      <c r="C4" s="23" t="s">
        <v>49</v>
      </c>
    </row>
    <row r="5" spans="2:3" ht="14" x14ac:dyDescent="0.25">
      <c r="B5" s="21" t="s">
        <v>65</v>
      </c>
      <c r="C5" s="21" t="s">
        <v>66</v>
      </c>
    </row>
    <row r="6" spans="2:3" ht="14" x14ac:dyDescent="0.25">
      <c r="B6" s="21" t="s">
        <v>81</v>
      </c>
      <c r="C6" s="21" t="s">
        <v>82</v>
      </c>
    </row>
    <row r="7" spans="2:3" ht="14" x14ac:dyDescent="0.25">
      <c r="B7" s="21" t="s">
        <v>97</v>
      </c>
      <c r="C7" s="21" t="s">
        <v>98</v>
      </c>
    </row>
    <row r="8" spans="2:3" ht="14" x14ac:dyDescent="0.25">
      <c r="B8" s="23" t="s">
        <v>18</v>
      </c>
      <c r="C8" s="23" t="s">
        <v>113</v>
      </c>
    </row>
    <row r="9" spans="2:3" ht="14" x14ac:dyDescent="0.25">
      <c r="B9" s="21" t="s">
        <v>126</v>
      </c>
      <c r="C9" s="21" t="s">
        <v>127</v>
      </c>
    </row>
    <row r="10" spans="2:3" ht="14" x14ac:dyDescent="0.25">
      <c r="B10" s="21" t="s">
        <v>140</v>
      </c>
      <c r="C10" s="21" t="s">
        <v>141</v>
      </c>
    </row>
    <row r="11" spans="2:3" ht="14" x14ac:dyDescent="0.25">
      <c r="B11" s="21" t="s">
        <v>153</v>
      </c>
      <c r="C11" s="21" t="s">
        <v>154</v>
      </c>
    </row>
    <row r="12" spans="2:3" ht="14" x14ac:dyDescent="0.25">
      <c r="B12" s="21" t="s">
        <v>167</v>
      </c>
      <c r="C12" s="21" t="s">
        <v>168</v>
      </c>
    </row>
    <row r="13" spans="2:3" ht="14" x14ac:dyDescent="0.25">
      <c r="B13" s="21" t="s">
        <v>180</v>
      </c>
      <c r="C13" s="21" t="s">
        <v>181</v>
      </c>
    </row>
    <row r="14" spans="2:3" ht="14" x14ac:dyDescent="0.25">
      <c r="B14" s="21" t="s">
        <v>192</v>
      </c>
      <c r="C14" s="21" t="s">
        <v>193</v>
      </c>
    </row>
    <row r="15" spans="2:3" ht="14" x14ac:dyDescent="0.25">
      <c r="B15" s="21" t="s">
        <v>206</v>
      </c>
      <c r="C15" s="21" t="s">
        <v>207</v>
      </c>
    </row>
    <row r="16" spans="2:3" ht="14" x14ac:dyDescent="0.25">
      <c r="B16" s="23" t="s">
        <v>220</v>
      </c>
      <c r="C16" s="23" t="s">
        <v>221</v>
      </c>
    </row>
    <row r="17" spans="2:3" ht="14" x14ac:dyDescent="0.25">
      <c r="B17" s="21" t="s">
        <v>234</v>
      </c>
      <c r="C17" s="21" t="s">
        <v>235</v>
      </c>
    </row>
    <row r="18" spans="2:3" ht="14" x14ac:dyDescent="0.25">
      <c r="B18" s="21" t="s">
        <v>246</v>
      </c>
      <c r="C18" s="21" t="s">
        <v>247</v>
      </c>
    </row>
    <row r="19" spans="2:3" ht="14" x14ac:dyDescent="0.25">
      <c r="B19" s="21" t="s">
        <v>256</v>
      </c>
      <c r="C19" s="21" t="s">
        <v>257</v>
      </c>
    </row>
    <row r="20" spans="2:3" ht="14" x14ac:dyDescent="0.25">
      <c r="B20" s="21" t="s">
        <v>268</v>
      </c>
      <c r="C20" s="21" t="s">
        <v>269</v>
      </c>
    </row>
    <row r="21" spans="2:3" ht="14" x14ac:dyDescent="0.25">
      <c r="B21" s="21" t="s">
        <v>277</v>
      </c>
      <c r="C21" s="21" t="s">
        <v>278</v>
      </c>
    </row>
    <row r="22" spans="2:3" ht="14" x14ac:dyDescent="0.25">
      <c r="B22" s="21" t="s">
        <v>287</v>
      </c>
      <c r="C22" s="21" t="s">
        <v>288</v>
      </c>
    </row>
    <row r="23" spans="2:3" ht="14" x14ac:dyDescent="0.25">
      <c r="B23" s="21" t="s">
        <v>297</v>
      </c>
      <c r="C23" s="21" t="s">
        <v>298</v>
      </c>
    </row>
    <row r="24" spans="2:3" ht="14" x14ac:dyDescent="0.25">
      <c r="B24" s="21" t="s">
        <v>303</v>
      </c>
      <c r="C24" s="21" t="s">
        <v>304</v>
      </c>
    </row>
    <row r="25" spans="2:3" ht="14" x14ac:dyDescent="0.25">
      <c r="B25" s="21" t="s">
        <v>309</v>
      </c>
      <c r="C25" s="21" t="s">
        <v>310</v>
      </c>
    </row>
    <row r="26" spans="2:3" ht="14" x14ac:dyDescent="0.25">
      <c r="B26" s="21" t="s">
        <v>315</v>
      </c>
      <c r="C26" s="21" t="s">
        <v>316</v>
      </c>
    </row>
    <row r="27" spans="2:3" ht="14" x14ac:dyDescent="0.25">
      <c r="B27" s="23" t="s">
        <v>182</v>
      </c>
      <c r="C27" s="23" t="s">
        <v>183</v>
      </c>
    </row>
    <row r="28" spans="2:3" ht="14" x14ac:dyDescent="0.25">
      <c r="B28" s="23" t="s">
        <v>325</v>
      </c>
      <c r="C28" s="23" t="s">
        <v>326</v>
      </c>
    </row>
  </sheetData>
  <sortState xmlns:xlrd2="http://schemas.microsoft.com/office/spreadsheetml/2017/richdata2" ref="B4:C27">
    <sortCondition ref="B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0C33E-B116-4D7E-9A7F-D0026EA9803C}">
  <dimension ref="A1:D83"/>
  <sheetViews>
    <sheetView workbookViewId="0">
      <selection activeCell="D2" sqref="D2"/>
    </sheetView>
  </sheetViews>
  <sheetFormatPr defaultRowHeight="14" x14ac:dyDescent="0.25"/>
  <cols>
    <col min="1" max="1" width="23" style="21" bestFit="1" customWidth="1"/>
    <col min="2" max="2" width="14.453125" style="21"/>
    <col min="3" max="3" width="41.7265625" style="21" bestFit="1" customWidth="1"/>
    <col min="4" max="4" width="44.453125" bestFit="1" customWidth="1"/>
  </cols>
  <sheetData>
    <row r="1" spans="1:4" ht="15" customHeight="1" x14ac:dyDescent="0.25">
      <c r="A1" s="55" t="s">
        <v>24</v>
      </c>
      <c r="B1" s="56"/>
      <c r="C1" s="56"/>
      <c r="D1" s="56"/>
    </row>
    <row r="2" spans="1:4" x14ac:dyDescent="0.25">
      <c r="A2" s="22" t="s">
        <v>0</v>
      </c>
      <c r="B2" s="22" t="s">
        <v>1</v>
      </c>
      <c r="C2" s="22" t="s">
        <v>453</v>
      </c>
      <c r="D2" s="22" t="s">
        <v>6</v>
      </c>
    </row>
    <row r="3" spans="1:4" x14ac:dyDescent="0.25">
      <c r="A3" s="23" t="s">
        <v>409</v>
      </c>
      <c r="B3" s="23" t="s">
        <v>410</v>
      </c>
      <c r="C3" s="21" t="s">
        <v>454</v>
      </c>
      <c r="D3" s="21" t="s">
        <v>39</v>
      </c>
    </row>
    <row r="4" spans="1:4" x14ac:dyDescent="0.25">
      <c r="A4" s="23" t="s">
        <v>447</v>
      </c>
      <c r="B4" s="23" t="s">
        <v>448</v>
      </c>
      <c r="C4" s="21" t="s">
        <v>455</v>
      </c>
      <c r="D4" s="21" t="s">
        <v>39</v>
      </c>
    </row>
    <row r="5" spans="1:4" x14ac:dyDescent="0.25">
      <c r="A5" s="23" t="s">
        <v>90</v>
      </c>
      <c r="B5" s="23" t="s">
        <v>57</v>
      </c>
      <c r="C5" s="21" t="s">
        <v>56</v>
      </c>
      <c r="D5" s="21" t="s">
        <v>456</v>
      </c>
    </row>
    <row r="6" spans="1:4" x14ac:dyDescent="0.25">
      <c r="A6" s="39" t="s">
        <v>274</v>
      </c>
      <c r="B6" s="39" t="s">
        <v>174</v>
      </c>
      <c r="C6" s="40" t="s">
        <v>457</v>
      </c>
      <c r="D6" s="40" t="s">
        <v>456</v>
      </c>
    </row>
    <row r="7" spans="1:4" x14ac:dyDescent="0.25">
      <c r="A7" s="23" t="s">
        <v>9</v>
      </c>
      <c r="B7" s="23" t="s">
        <v>89</v>
      </c>
      <c r="C7" s="21" t="s">
        <v>458</v>
      </c>
      <c r="D7" s="21" t="s">
        <v>7</v>
      </c>
    </row>
    <row r="8" spans="1:4" x14ac:dyDescent="0.25">
      <c r="A8" s="23" t="s">
        <v>214</v>
      </c>
      <c r="B8" s="23" t="s">
        <v>215</v>
      </c>
      <c r="C8" s="21" t="s">
        <v>459</v>
      </c>
      <c r="D8" s="21" t="s">
        <v>103</v>
      </c>
    </row>
    <row r="9" spans="1:4" x14ac:dyDescent="0.25">
      <c r="A9" s="23" t="s">
        <v>175</v>
      </c>
      <c r="B9" s="23" t="s">
        <v>89</v>
      </c>
      <c r="C9" s="21" t="s">
        <v>460</v>
      </c>
      <c r="D9" s="21" t="s">
        <v>118</v>
      </c>
    </row>
    <row r="10" spans="1:4" x14ac:dyDescent="0.25">
      <c r="A10" s="23" t="s">
        <v>380</v>
      </c>
      <c r="B10" s="23" t="s">
        <v>381</v>
      </c>
      <c r="C10" s="21" t="s">
        <v>461</v>
      </c>
      <c r="D10" s="21" t="s">
        <v>186</v>
      </c>
    </row>
    <row r="11" spans="1:4" x14ac:dyDescent="0.25">
      <c r="A11" s="23" t="s">
        <v>431</v>
      </c>
      <c r="B11" s="23" t="s">
        <v>432</v>
      </c>
      <c r="C11" s="21" t="s">
        <v>462</v>
      </c>
      <c r="D11" s="21" t="s">
        <v>118</v>
      </c>
    </row>
    <row r="12" spans="1:4" x14ac:dyDescent="0.25">
      <c r="A12" s="23" t="s">
        <v>449</v>
      </c>
      <c r="B12" s="23" t="s">
        <v>450</v>
      </c>
      <c r="C12" s="21" t="s">
        <v>463</v>
      </c>
      <c r="D12" s="21" t="s">
        <v>186</v>
      </c>
    </row>
    <row r="13" spans="1:4" x14ac:dyDescent="0.25">
      <c r="A13" s="23" t="s">
        <v>241</v>
      </c>
      <c r="B13" s="23" t="s">
        <v>146</v>
      </c>
      <c r="C13" s="21" t="s">
        <v>464</v>
      </c>
      <c r="D13" s="21" t="s">
        <v>145</v>
      </c>
    </row>
    <row r="14" spans="1:4" x14ac:dyDescent="0.25">
      <c r="A14" s="23" t="s">
        <v>274</v>
      </c>
      <c r="B14" s="23" t="s">
        <v>174</v>
      </c>
      <c r="C14" s="21" t="s">
        <v>465</v>
      </c>
      <c r="D14" s="21" t="s">
        <v>173</v>
      </c>
    </row>
    <row r="15" spans="1:4" x14ac:dyDescent="0.25">
      <c r="A15" s="23" t="s">
        <v>74</v>
      </c>
      <c r="B15" s="23" t="s">
        <v>75</v>
      </c>
      <c r="C15" s="21" t="s">
        <v>466</v>
      </c>
      <c r="D15" s="21" t="s">
        <v>198</v>
      </c>
    </row>
    <row r="16" spans="1:4" x14ac:dyDescent="0.25">
      <c r="A16" s="23" t="s">
        <v>349</v>
      </c>
      <c r="B16" s="23" t="s">
        <v>213</v>
      </c>
      <c r="C16" s="21" t="s">
        <v>467</v>
      </c>
      <c r="D16" s="21" t="s">
        <v>212</v>
      </c>
    </row>
    <row r="17" spans="1:4" x14ac:dyDescent="0.25">
      <c r="A17" s="23" t="s">
        <v>200</v>
      </c>
      <c r="B17" s="23" t="s">
        <v>201</v>
      </c>
      <c r="C17" s="21" t="s">
        <v>468</v>
      </c>
      <c r="D17" s="21" t="s">
        <v>469</v>
      </c>
    </row>
    <row r="18" spans="1:4" x14ac:dyDescent="0.25">
      <c r="A18" s="23" t="s">
        <v>352</v>
      </c>
      <c r="B18" s="23" t="s">
        <v>353</v>
      </c>
      <c r="C18" s="21" t="s">
        <v>470</v>
      </c>
      <c r="D18" s="21" t="s">
        <v>471</v>
      </c>
    </row>
    <row r="19" spans="1:4" x14ac:dyDescent="0.25">
      <c r="A19" s="23" t="s">
        <v>370</v>
      </c>
      <c r="B19" s="23" t="s">
        <v>371</v>
      </c>
      <c r="C19" s="21" t="s">
        <v>472</v>
      </c>
      <c r="D19" s="21" t="s">
        <v>471</v>
      </c>
    </row>
    <row r="20" spans="1:4" x14ac:dyDescent="0.25">
      <c r="A20" s="23" t="s">
        <v>293</v>
      </c>
      <c r="B20" s="23" t="s">
        <v>294</v>
      </c>
      <c r="C20" s="21" t="s">
        <v>473</v>
      </c>
      <c r="D20" s="21" t="s">
        <v>262</v>
      </c>
    </row>
    <row r="21" spans="1:4" x14ac:dyDescent="0.25">
      <c r="A21" s="23" t="s">
        <v>293</v>
      </c>
      <c r="B21" s="23" t="s">
        <v>294</v>
      </c>
      <c r="C21" s="21" t="s">
        <v>474</v>
      </c>
      <c r="D21" s="21" t="s">
        <v>262</v>
      </c>
    </row>
    <row r="22" spans="1:4" x14ac:dyDescent="0.25">
      <c r="A22" s="23" t="s">
        <v>105</v>
      </c>
      <c r="B22" s="23" t="s">
        <v>106</v>
      </c>
      <c r="C22" s="21" t="s">
        <v>475</v>
      </c>
      <c r="D22" s="21" t="s">
        <v>476</v>
      </c>
    </row>
    <row r="23" spans="1:4" x14ac:dyDescent="0.25">
      <c r="A23" s="23" t="s">
        <v>283</v>
      </c>
      <c r="B23" s="23" t="s">
        <v>284</v>
      </c>
      <c r="C23" s="21" t="s">
        <v>477</v>
      </c>
      <c r="D23" s="21" t="s">
        <v>476</v>
      </c>
    </row>
    <row r="24" spans="1:4" x14ac:dyDescent="0.25">
      <c r="A24" s="23" t="s">
        <v>372</v>
      </c>
      <c r="B24" s="23" t="s">
        <v>373</v>
      </c>
      <c r="C24" s="21" t="s">
        <v>478</v>
      </c>
      <c r="D24" s="21" t="s">
        <v>476</v>
      </c>
    </row>
    <row r="25" spans="1:4" x14ac:dyDescent="0.25">
      <c r="A25" s="23" t="s">
        <v>397</v>
      </c>
      <c r="B25" s="23" t="s">
        <v>398</v>
      </c>
      <c r="C25" s="21" t="s">
        <v>479</v>
      </c>
      <c r="D25" s="21" t="s">
        <v>476</v>
      </c>
    </row>
    <row r="26" spans="1:4" x14ac:dyDescent="0.25">
      <c r="A26" s="23" t="s">
        <v>416</v>
      </c>
      <c r="B26" s="23" t="s">
        <v>417</v>
      </c>
      <c r="C26" s="21" t="s">
        <v>480</v>
      </c>
      <c r="D26" s="21" t="s">
        <v>476</v>
      </c>
    </row>
    <row r="27" spans="1:4" x14ac:dyDescent="0.25">
      <c r="A27" s="23" t="s">
        <v>443</v>
      </c>
      <c r="B27" s="23" t="s">
        <v>444</v>
      </c>
      <c r="C27" s="21" t="s">
        <v>481</v>
      </c>
      <c r="D27" s="21" t="s">
        <v>281</v>
      </c>
    </row>
    <row r="28" spans="1:4" x14ac:dyDescent="0.25">
      <c r="A28" s="23" t="s">
        <v>329</v>
      </c>
      <c r="B28" s="23" t="s">
        <v>330</v>
      </c>
      <c r="C28" s="21" t="s">
        <v>482</v>
      </c>
      <c r="D28" s="21" t="s">
        <v>305</v>
      </c>
    </row>
    <row r="29" spans="1:4" x14ac:dyDescent="0.25">
      <c r="A29" s="23" t="s">
        <v>329</v>
      </c>
      <c r="B29" s="23" t="s">
        <v>330</v>
      </c>
      <c r="C29" s="21" t="s">
        <v>483</v>
      </c>
      <c r="D29" s="21" t="s">
        <v>305</v>
      </c>
    </row>
    <row r="30" spans="1:4" x14ac:dyDescent="0.25">
      <c r="A30" s="23" t="s">
        <v>341</v>
      </c>
      <c r="B30" s="23" t="s">
        <v>342</v>
      </c>
      <c r="C30" s="21" t="s">
        <v>484</v>
      </c>
      <c r="D30" s="21" t="s">
        <v>305</v>
      </c>
    </row>
    <row r="31" spans="1:4" x14ac:dyDescent="0.25">
      <c r="A31" s="23" t="s">
        <v>58</v>
      </c>
      <c r="B31" s="23" t="s">
        <v>59</v>
      </c>
      <c r="C31" s="21" t="s">
        <v>485</v>
      </c>
      <c r="D31" s="21" t="s">
        <v>311</v>
      </c>
    </row>
    <row r="32" spans="1:4" x14ac:dyDescent="0.25">
      <c r="A32" s="23" t="s">
        <v>356</v>
      </c>
      <c r="B32" s="23" t="s">
        <v>357</v>
      </c>
      <c r="C32" s="21" t="s">
        <v>486</v>
      </c>
      <c r="D32" s="21" t="s">
        <v>317</v>
      </c>
    </row>
    <row r="33" spans="1:4" x14ac:dyDescent="0.25">
      <c r="A33" s="23" t="s">
        <v>401</v>
      </c>
      <c r="B33" s="23" t="s">
        <v>402</v>
      </c>
      <c r="C33" s="21" t="s">
        <v>487</v>
      </c>
      <c r="D33" s="21" t="s">
        <v>317</v>
      </c>
    </row>
    <row r="34" spans="1:4" x14ac:dyDescent="0.25">
      <c r="A34" s="23" t="s">
        <v>386</v>
      </c>
      <c r="B34" s="23" t="s">
        <v>387</v>
      </c>
      <c r="C34" s="21" t="s">
        <v>488</v>
      </c>
      <c r="D34" s="21" t="s">
        <v>327</v>
      </c>
    </row>
    <row r="35" spans="1:4" x14ac:dyDescent="0.25">
      <c r="A35" s="23" t="s">
        <v>407</v>
      </c>
      <c r="B35" s="23" t="s">
        <v>408</v>
      </c>
      <c r="C35" s="21" t="s">
        <v>489</v>
      </c>
      <c r="D35" s="21" t="s">
        <v>327</v>
      </c>
    </row>
    <row r="36" spans="1:4" x14ac:dyDescent="0.25">
      <c r="A36" s="23" t="s">
        <v>120</v>
      </c>
      <c r="B36" s="23" t="s">
        <v>121</v>
      </c>
      <c r="C36" s="21" t="s">
        <v>490</v>
      </c>
      <c r="D36" s="21" t="s">
        <v>331</v>
      </c>
    </row>
    <row r="37" spans="1:4" x14ac:dyDescent="0.25">
      <c r="A37" s="23" t="s">
        <v>161</v>
      </c>
      <c r="B37" s="23" t="s">
        <v>162</v>
      </c>
      <c r="C37" s="41" t="s">
        <v>491</v>
      </c>
      <c r="D37" s="41" t="s">
        <v>331</v>
      </c>
    </row>
    <row r="38" spans="1:4" x14ac:dyDescent="0.25">
      <c r="A38" s="23" t="s">
        <v>393</v>
      </c>
      <c r="B38" s="23" t="s">
        <v>394</v>
      </c>
      <c r="C38" s="21" t="s">
        <v>492</v>
      </c>
      <c r="D38" s="21" t="s">
        <v>331</v>
      </c>
    </row>
    <row r="39" spans="1:4" x14ac:dyDescent="0.25">
      <c r="A39" s="23" t="s">
        <v>420</v>
      </c>
      <c r="B39" s="23" t="s">
        <v>421</v>
      </c>
      <c r="C39" s="21" t="s">
        <v>493</v>
      </c>
      <c r="D39" s="21" t="s">
        <v>331</v>
      </c>
    </row>
    <row r="40" spans="1:4" x14ac:dyDescent="0.25">
      <c r="A40" s="23" t="s">
        <v>433</v>
      </c>
      <c r="B40" s="23" t="s">
        <v>434</v>
      </c>
      <c r="C40" s="21" t="s">
        <v>494</v>
      </c>
      <c r="D40" s="21" t="s">
        <v>335</v>
      </c>
    </row>
    <row r="41" spans="1:4" x14ac:dyDescent="0.25">
      <c r="A41" s="23" t="s">
        <v>337</v>
      </c>
      <c r="B41" s="23" t="s">
        <v>338</v>
      </c>
      <c r="C41" s="21" t="s">
        <v>495</v>
      </c>
      <c r="D41" s="21" t="s">
        <v>339</v>
      </c>
    </row>
    <row r="42" spans="1:4" x14ac:dyDescent="0.25">
      <c r="A42" s="23" t="s">
        <v>415</v>
      </c>
      <c r="B42" s="23" t="s">
        <v>340</v>
      </c>
      <c r="C42" s="21" t="s">
        <v>496</v>
      </c>
      <c r="D42" s="21" t="s">
        <v>339</v>
      </c>
    </row>
    <row r="43" spans="1:4" x14ac:dyDescent="0.25">
      <c r="A43" s="23" t="s">
        <v>422</v>
      </c>
      <c r="B43" s="23" t="s">
        <v>344</v>
      </c>
      <c r="C43" s="21" t="s">
        <v>497</v>
      </c>
      <c r="D43" s="21" t="s">
        <v>343</v>
      </c>
    </row>
    <row r="44" spans="1:4" x14ac:dyDescent="0.25">
      <c r="A44" s="23" t="s">
        <v>376</v>
      </c>
      <c r="B44" s="23" t="s">
        <v>377</v>
      </c>
      <c r="C44" s="21" t="s">
        <v>498</v>
      </c>
      <c r="D44" s="21" t="s">
        <v>347</v>
      </c>
    </row>
    <row r="45" spans="1:4" x14ac:dyDescent="0.25">
      <c r="A45" s="23" t="s">
        <v>403</v>
      </c>
      <c r="B45" s="23" t="s">
        <v>404</v>
      </c>
      <c r="C45" s="21" t="s">
        <v>499</v>
      </c>
      <c r="D45" s="21" t="s">
        <v>347</v>
      </c>
    </row>
    <row r="46" spans="1:4" x14ac:dyDescent="0.25">
      <c r="A46" s="23" t="s">
        <v>368</v>
      </c>
      <c r="B46" s="23" t="s">
        <v>369</v>
      </c>
      <c r="C46" s="21" t="s">
        <v>500</v>
      </c>
      <c r="D46" s="21" t="s">
        <v>350</v>
      </c>
    </row>
    <row r="47" spans="1:4" x14ac:dyDescent="0.25">
      <c r="A47" s="23" t="s">
        <v>435</v>
      </c>
      <c r="B47" s="23" t="s">
        <v>436</v>
      </c>
      <c r="C47" s="21" t="s">
        <v>501</v>
      </c>
      <c r="D47" s="21" t="s">
        <v>350</v>
      </c>
    </row>
    <row r="48" spans="1:4" x14ac:dyDescent="0.25">
      <c r="A48" s="23" t="s">
        <v>366</v>
      </c>
      <c r="B48" s="23" t="s">
        <v>367</v>
      </c>
      <c r="C48" s="21" t="s">
        <v>502</v>
      </c>
      <c r="D48" s="21" t="s">
        <v>503</v>
      </c>
    </row>
    <row r="49" spans="1:4" x14ac:dyDescent="0.25">
      <c r="A49" s="23" t="s">
        <v>319</v>
      </c>
      <c r="B49" s="23" t="s">
        <v>320</v>
      </c>
      <c r="C49" s="21" t="s">
        <v>504</v>
      </c>
      <c r="D49" s="21" t="s">
        <v>354</v>
      </c>
    </row>
    <row r="50" spans="1:4" x14ac:dyDescent="0.25">
      <c r="A50" s="23" t="s">
        <v>429</v>
      </c>
      <c r="B50" s="23" t="s">
        <v>430</v>
      </c>
      <c r="C50" s="21" t="s">
        <v>354</v>
      </c>
      <c r="D50" s="21" t="s">
        <v>354</v>
      </c>
    </row>
    <row r="51" spans="1:4" x14ac:dyDescent="0.25">
      <c r="A51" s="23" t="s">
        <v>439</v>
      </c>
      <c r="B51" s="23" t="s">
        <v>440</v>
      </c>
      <c r="C51" s="21" t="s">
        <v>505</v>
      </c>
      <c r="D51" s="21" t="s">
        <v>506</v>
      </c>
    </row>
    <row r="52" spans="1:4" x14ac:dyDescent="0.25">
      <c r="A52" s="23" t="s">
        <v>384</v>
      </c>
      <c r="B52" s="23" t="s">
        <v>385</v>
      </c>
      <c r="C52" s="21" t="s">
        <v>507</v>
      </c>
      <c r="D52" s="21" t="s">
        <v>508</v>
      </c>
    </row>
    <row r="53" spans="1:4" x14ac:dyDescent="0.25">
      <c r="A53" s="23" t="s">
        <v>441</v>
      </c>
      <c r="B53" s="23" t="s">
        <v>442</v>
      </c>
      <c r="C53" s="21" t="s">
        <v>509</v>
      </c>
      <c r="D53" s="21" t="s">
        <v>358</v>
      </c>
    </row>
    <row r="54" spans="1:4" x14ac:dyDescent="0.25">
      <c r="A54" s="21" t="s">
        <v>134</v>
      </c>
      <c r="B54" s="21" t="s">
        <v>135</v>
      </c>
      <c r="C54" s="21">
        <v>0</v>
      </c>
      <c r="D54" s="21"/>
    </row>
    <row r="55" spans="1:4" x14ac:dyDescent="0.25">
      <c r="A55" s="23" t="s">
        <v>147</v>
      </c>
      <c r="B55" s="23" t="s">
        <v>148</v>
      </c>
      <c r="C55" s="21">
        <v>0</v>
      </c>
      <c r="D55" s="21"/>
    </row>
    <row r="56" spans="1:4" x14ac:dyDescent="0.25">
      <c r="A56" s="21" t="s">
        <v>32</v>
      </c>
      <c r="B56" s="21" t="s">
        <v>33</v>
      </c>
      <c r="C56" s="21">
        <v>0</v>
      </c>
      <c r="D56" s="21"/>
    </row>
    <row r="57" spans="1:4" x14ac:dyDescent="0.25">
      <c r="A57" s="23" t="s">
        <v>228</v>
      </c>
      <c r="B57" s="23" t="s">
        <v>229</v>
      </c>
      <c r="C57" s="21">
        <v>0</v>
      </c>
      <c r="D57" s="21"/>
    </row>
    <row r="58" spans="1:4" x14ac:dyDescent="0.25">
      <c r="A58" s="23" t="s">
        <v>301</v>
      </c>
      <c r="B58" s="23" t="s">
        <v>302</v>
      </c>
      <c r="C58" s="21">
        <v>0</v>
      </c>
      <c r="D58" s="21"/>
    </row>
    <row r="59" spans="1:4" x14ac:dyDescent="0.25">
      <c r="A59" s="23" t="s">
        <v>307</v>
      </c>
      <c r="B59" s="23" t="s">
        <v>308</v>
      </c>
      <c r="C59" s="21">
        <v>0</v>
      </c>
      <c r="D59" s="21"/>
    </row>
    <row r="60" spans="1:4" x14ac:dyDescent="0.25">
      <c r="A60" s="23" t="s">
        <v>313</v>
      </c>
      <c r="B60" s="23" t="s">
        <v>314</v>
      </c>
      <c r="C60" s="21">
        <v>0</v>
      </c>
      <c r="D60" s="21"/>
    </row>
    <row r="61" spans="1:4" x14ac:dyDescent="0.25">
      <c r="A61" s="23" t="s">
        <v>323</v>
      </c>
      <c r="B61" s="23" t="s">
        <v>324</v>
      </c>
      <c r="C61" s="21">
        <v>0</v>
      </c>
      <c r="D61" s="21"/>
    </row>
    <row r="62" spans="1:4" x14ac:dyDescent="0.25">
      <c r="A62" s="23" t="s">
        <v>333</v>
      </c>
      <c r="B62" s="23" t="s">
        <v>334</v>
      </c>
      <c r="C62" s="21">
        <v>0</v>
      </c>
      <c r="D62" s="21"/>
    </row>
    <row r="63" spans="1:4" x14ac:dyDescent="0.25">
      <c r="A63" s="23" t="s">
        <v>345</v>
      </c>
      <c r="B63" s="23" t="s">
        <v>346</v>
      </c>
      <c r="C63" s="21">
        <v>0</v>
      </c>
      <c r="D63" s="21"/>
    </row>
    <row r="64" spans="1:4" x14ac:dyDescent="0.25">
      <c r="A64" s="23" t="s">
        <v>360</v>
      </c>
      <c r="B64" s="23" t="s">
        <v>361</v>
      </c>
      <c r="C64" s="21">
        <v>0</v>
      </c>
      <c r="D64" s="21"/>
    </row>
    <row r="65" spans="1:4" x14ac:dyDescent="0.25">
      <c r="A65" s="23" t="s">
        <v>364</v>
      </c>
      <c r="B65" s="23" t="s">
        <v>365</v>
      </c>
      <c r="C65" s="21">
        <v>0</v>
      </c>
      <c r="D65" s="21"/>
    </row>
    <row r="66" spans="1:4" x14ac:dyDescent="0.25">
      <c r="A66" s="23" t="s">
        <v>41</v>
      </c>
      <c r="B66" s="23" t="s">
        <v>42</v>
      </c>
      <c r="C66" s="21">
        <v>0</v>
      </c>
      <c r="D66" s="21"/>
    </row>
    <row r="67" spans="1:4" x14ac:dyDescent="0.25">
      <c r="A67" s="23" t="s">
        <v>374</v>
      </c>
      <c r="B67" s="23" t="s">
        <v>375</v>
      </c>
      <c r="C67" s="21">
        <v>0</v>
      </c>
      <c r="D67" s="21"/>
    </row>
    <row r="68" spans="1:4" x14ac:dyDescent="0.25">
      <c r="A68" s="23" t="s">
        <v>378</v>
      </c>
      <c r="B68" s="23" t="s">
        <v>379</v>
      </c>
      <c r="C68" s="21">
        <v>0</v>
      </c>
      <c r="D68" s="21"/>
    </row>
    <row r="69" spans="1:4" x14ac:dyDescent="0.25">
      <c r="A69" s="23" t="s">
        <v>382</v>
      </c>
      <c r="B69" s="23" t="s">
        <v>383</v>
      </c>
      <c r="C69" s="21">
        <v>0</v>
      </c>
      <c r="D69" s="21"/>
    </row>
    <row r="70" spans="1:4" x14ac:dyDescent="0.25">
      <c r="A70" s="23" t="s">
        <v>388</v>
      </c>
      <c r="B70" s="23" t="s">
        <v>389</v>
      </c>
      <c r="C70" s="21">
        <v>0</v>
      </c>
      <c r="D70" s="21"/>
    </row>
    <row r="71" spans="1:4" x14ac:dyDescent="0.25">
      <c r="A71" s="23" t="s">
        <v>390</v>
      </c>
      <c r="B71" s="23" t="s">
        <v>391</v>
      </c>
      <c r="C71" s="21">
        <v>0</v>
      </c>
      <c r="D71" s="21"/>
    </row>
    <row r="72" spans="1:4" x14ac:dyDescent="0.25">
      <c r="A72" s="23" t="s">
        <v>392</v>
      </c>
      <c r="B72" s="23" t="s">
        <v>322</v>
      </c>
      <c r="C72" s="21">
        <v>0</v>
      </c>
      <c r="D72" s="21"/>
    </row>
    <row r="73" spans="1:4" x14ac:dyDescent="0.25">
      <c r="A73" s="23" t="s">
        <v>395</v>
      </c>
      <c r="B73" s="23" t="s">
        <v>396</v>
      </c>
      <c r="C73" s="21">
        <v>0</v>
      </c>
      <c r="D73" s="21"/>
    </row>
    <row r="74" spans="1:4" x14ac:dyDescent="0.25">
      <c r="A74" s="23" t="s">
        <v>399</v>
      </c>
      <c r="B74" s="23" t="s">
        <v>400</v>
      </c>
      <c r="C74" s="21">
        <v>0</v>
      </c>
      <c r="D74" s="21"/>
    </row>
    <row r="75" spans="1:4" x14ac:dyDescent="0.25">
      <c r="A75" s="23" t="s">
        <v>405</v>
      </c>
      <c r="B75" s="23" t="s">
        <v>406</v>
      </c>
      <c r="C75" s="21">
        <v>0</v>
      </c>
      <c r="D75" s="21"/>
    </row>
    <row r="76" spans="1:4" x14ac:dyDescent="0.25">
      <c r="A76" s="23" t="s">
        <v>413</v>
      </c>
      <c r="B76" s="23" t="s">
        <v>414</v>
      </c>
      <c r="C76" s="21">
        <v>0</v>
      </c>
      <c r="D76" s="21"/>
    </row>
    <row r="77" spans="1:4" x14ac:dyDescent="0.25">
      <c r="A77" s="23" t="s">
        <v>418</v>
      </c>
      <c r="B77" s="23" t="s">
        <v>419</v>
      </c>
      <c r="C77" s="21">
        <v>0</v>
      </c>
      <c r="D77" s="21"/>
    </row>
    <row r="78" spans="1:4" x14ac:dyDescent="0.25">
      <c r="A78" s="23" t="s">
        <v>423</v>
      </c>
      <c r="B78" s="23" t="s">
        <v>424</v>
      </c>
      <c r="C78" s="21">
        <v>0</v>
      </c>
      <c r="D78" s="21"/>
    </row>
    <row r="79" spans="1:4" x14ac:dyDescent="0.25">
      <c r="A79" s="23" t="s">
        <v>425</v>
      </c>
      <c r="B79" s="23" t="s">
        <v>426</v>
      </c>
      <c r="C79" s="21">
        <v>0</v>
      </c>
      <c r="D79" s="21"/>
    </row>
    <row r="80" spans="1:4" x14ac:dyDescent="0.25">
      <c r="A80" s="23" t="s">
        <v>427</v>
      </c>
      <c r="B80" s="23" t="s">
        <v>428</v>
      </c>
      <c r="C80" s="21">
        <v>0</v>
      </c>
      <c r="D80" s="21"/>
    </row>
    <row r="81" spans="1:4" x14ac:dyDescent="0.25">
      <c r="A81" s="21" t="s">
        <v>437</v>
      </c>
      <c r="B81" s="21" t="s">
        <v>438</v>
      </c>
      <c r="C81" s="21">
        <v>0</v>
      </c>
      <c r="D81" s="21"/>
    </row>
    <row r="82" spans="1:4" x14ac:dyDescent="0.25">
      <c r="A82" s="23" t="s">
        <v>445</v>
      </c>
      <c r="B82" s="23" t="s">
        <v>446</v>
      </c>
      <c r="C82" s="21">
        <v>0</v>
      </c>
      <c r="D82" s="21"/>
    </row>
    <row r="83" spans="1:4" x14ac:dyDescent="0.25">
      <c r="A83" s="21" t="s">
        <v>451</v>
      </c>
      <c r="B83" s="21" t="s">
        <v>452</v>
      </c>
      <c r="C83" s="21">
        <v>0</v>
      </c>
    </row>
  </sheetData>
  <autoFilter ref="A2:D82" xr:uid="{D32782D9-FD96-48E9-8C81-82D577163BF5}">
    <sortState xmlns:xlrd2="http://schemas.microsoft.com/office/spreadsheetml/2017/richdata2" ref="A3:D82">
      <sortCondition ref="D2:D82"/>
    </sortState>
  </autoFilter>
  <mergeCells count="1">
    <mergeCell ref="A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Q352"/>
  <sheetViews>
    <sheetView workbookViewId="0"/>
  </sheetViews>
  <sheetFormatPr defaultColWidth="14.453125" defaultRowHeight="15.75" customHeight="1" x14ac:dyDescent="0.25"/>
  <cols>
    <col min="1" max="1" width="19.453125" customWidth="1"/>
    <col min="2" max="2" width="34.453125" customWidth="1"/>
    <col min="3" max="3" width="18" customWidth="1"/>
    <col min="4" max="4" width="24" customWidth="1"/>
    <col min="5" max="5" width="21.453125" customWidth="1"/>
    <col min="6" max="6" width="14.453125" customWidth="1"/>
    <col min="7" max="7" width="17.81640625" customWidth="1"/>
    <col min="8" max="8" width="14.453125" customWidth="1"/>
    <col min="9" max="9" width="140.453125" customWidth="1"/>
    <col min="10" max="10" width="30.453125" customWidth="1"/>
    <col min="11" max="15" width="14.453125" hidden="1"/>
    <col min="16" max="17" width="18.453125" hidden="1" customWidth="1"/>
  </cols>
  <sheetData>
    <row r="1" spans="1:17" ht="15.5" x14ac:dyDescent="0.35">
      <c r="A1" s="1" t="s">
        <v>510</v>
      </c>
      <c r="B1" s="2" t="s">
        <v>511</v>
      </c>
      <c r="C1" s="5"/>
      <c r="D1" s="3"/>
      <c r="E1" s="4" t="s">
        <v>512</v>
      </c>
      <c r="F1" s="4" t="s">
        <v>512</v>
      </c>
      <c r="G1" s="4" t="s">
        <v>512</v>
      </c>
      <c r="H1" s="4"/>
      <c r="I1" s="3"/>
      <c r="J1" s="3"/>
      <c r="K1" s="19"/>
      <c r="L1" s="19"/>
      <c r="M1" s="19"/>
      <c r="N1" s="19"/>
      <c r="O1" s="19"/>
      <c r="P1" s="19"/>
      <c r="Q1" s="19"/>
    </row>
    <row r="2" spans="1:17" ht="15.5" x14ac:dyDescent="0.35">
      <c r="A2" s="6" t="s">
        <v>513</v>
      </c>
      <c r="B2" s="6" t="s">
        <v>514</v>
      </c>
      <c r="C2" s="6" t="s">
        <v>515</v>
      </c>
      <c r="D2" s="6" t="s">
        <v>516</v>
      </c>
      <c r="E2" s="6" t="s">
        <v>517</v>
      </c>
      <c r="F2" s="6" t="s">
        <v>518</v>
      </c>
      <c r="G2" s="6" t="s">
        <v>519</v>
      </c>
      <c r="H2" s="6"/>
      <c r="I2" s="6" t="s">
        <v>520</v>
      </c>
      <c r="J2" s="6" t="s">
        <v>521</v>
      </c>
      <c r="K2" s="19"/>
      <c r="L2" s="19"/>
      <c r="M2" s="19"/>
      <c r="N2" s="19"/>
      <c r="O2" s="19"/>
      <c r="P2" s="19"/>
      <c r="Q2" s="19"/>
    </row>
    <row r="3" spans="1:17" ht="15.5" x14ac:dyDescent="0.35">
      <c r="A3" s="7" t="s">
        <v>522</v>
      </c>
      <c r="B3" s="1" t="s">
        <v>4</v>
      </c>
      <c r="C3" s="1" t="s">
        <v>515</v>
      </c>
      <c r="D3" s="1" t="s">
        <v>23</v>
      </c>
      <c r="E3" s="8" t="s">
        <v>10</v>
      </c>
      <c r="F3" s="8" t="s">
        <v>10</v>
      </c>
      <c r="G3" s="8" t="s">
        <v>523</v>
      </c>
      <c r="H3" s="8" t="s">
        <v>524</v>
      </c>
      <c r="I3" s="9"/>
      <c r="J3" s="10" t="s">
        <v>525</v>
      </c>
      <c r="K3" s="11" t="s">
        <v>4</v>
      </c>
      <c r="L3" s="11" t="s">
        <v>515</v>
      </c>
      <c r="M3" s="11" t="s">
        <v>23</v>
      </c>
      <c r="N3" s="12" t="s">
        <v>10</v>
      </c>
      <c r="O3" s="12" t="s">
        <v>10</v>
      </c>
      <c r="P3" s="12" t="s">
        <v>523</v>
      </c>
      <c r="Q3" s="7" t="s">
        <v>522</v>
      </c>
    </row>
    <row r="4" spans="1:17" ht="15.5" x14ac:dyDescent="0.35">
      <c r="A4" s="13" t="s">
        <v>526</v>
      </c>
      <c r="B4" s="14" t="s">
        <v>527</v>
      </c>
      <c r="C4" s="14" t="s">
        <v>528</v>
      </c>
      <c r="D4" s="14" t="s">
        <v>23</v>
      </c>
      <c r="E4" s="14" t="s">
        <v>529</v>
      </c>
      <c r="F4" s="14" t="s">
        <v>530</v>
      </c>
      <c r="G4" s="14" t="s">
        <v>531</v>
      </c>
      <c r="H4" s="14"/>
      <c r="I4" s="14" t="str">
        <f ca="1">IF(K4="empty","","?utm_campaign="&amp;L4&amp;"&amp;utm_source="&amp;K4&amp;"&amp;utm_medium="&amp;M4&amp;IF(N4="content",IF(O4="empty","&amp;utm_content="&amp;N4,"&amp;utm_content="&amp;O4),IF(O4="empty","&amp;utm_content="&amp;N4,"&amp;utm_content="&amp;N4&amp;"_"&amp;O4))&amp;"&amp;utm_term="&amp;P4)&amp;"&amp;utm_id="&amp;IF(H4="","empty",H4)</f>
        <v>?utm_campaign=abg&amp;utm_source=abg&amp;utm_medium=abg&amp;utm_content=abg_abg&amp;utm_term=abg&amp;utm_id=empty</v>
      </c>
      <c r="J4" s="13" t="str">
        <f t="shared" ref="J4:J258" ca="1" si="0">IF(K4="empty","",Q4&amp;"?utm_source="&amp;K4&amp;"&amp;utm_campaign="&amp;L4&amp;"&amp;utm_medium="&amp;M4&amp;IF(N4="content",IF(O4="empty","&amp;utm_content="&amp;N4,"&amp;utm_content="&amp;O4),IF(O4="empty","&amp;utm_content="&amp;N4,"&amp;utm_content="&amp;N4&amp;"_"&amp;O4))&amp;"&amp;utm_term="&amp;P4)</f>
        <v>www.looney.com?utm_source=abg&amp;utm_campaign=abg&amp;utm_medium=abg&amp;utm_content=abg_abg&amp;utm_term=abg</v>
      </c>
      <c r="K4" s="19" t="str">
        <f t="shared" ref="K4:P4" ca="1" si="1">IFERROR(__xludf.DUMMYFUNCTION("iferror(lower(regexreplace(substitute(trim(if(B4="""",""empty"",B4)),"" "",""_""),""[^A-Za-z0-9_]"","""")))"),"abg")</f>
        <v>abg</v>
      </c>
      <c r="L4" s="19" t="str">
        <f t="shared" ca="1" si="1"/>
        <v>abg</v>
      </c>
      <c r="M4" s="19" t="str">
        <f t="shared" ca="1" si="1"/>
        <v>abg</v>
      </c>
      <c r="N4" s="19" t="str">
        <f t="shared" ca="1" si="1"/>
        <v>abg</v>
      </c>
      <c r="O4" s="19" t="str">
        <f t="shared" ca="1" si="1"/>
        <v>abg</v>
      </c>
      <c r="P4" s="19" t="str">
        <f t="shared" ca="1" si="1"/>
        <v>abg</v>
      </c>
      <c r="Q4" s="15" t="str">
        <f t="shared" ref="Q4:Q258" ca="1" si="2">IFERROR(__xludf.DUMMYFUNCTION("iferror(if(right(lower(regexreplace(substitute(trim(if(A4="""",""empty"",A4)),"" "",""_""),""[^A-Za-z0-9_\.\:\/\-]"","""")),1)=""/"",left(lower(regexreplace(substitute(trim(if(A4="""",""empty"",A4)),"" "",""_""),""[^A-Za-z0-9_\.\:\/\-]"","""")),len(lower("&amp;"regexreplace(substitute(trim(if(A4="""",""empty"",A4)),"" "",""_""),""[^A-Za-z0-9_\.\:\/\-]"","""")))-1),lower(regexreplace(substitute(trim(if(A4="""",""empty"",A4)),"" "",""_""),""[^A-Za-z0-9_\.\:\/\-]"",""""))))"),"www.looney.com")</f>
        <v>www.looney.com</v>
      </c>
    </row>
    <row r="5" spans="1:17" ht="15.5" x14ac:dyDescent="0.35">
      <c r="A5" s="19"/>
      <c r="B5" s="19"/>
      <c r="C5" s="19"/>
      <c r="D5" s="19"/>
      <c r="E5" s="19"/>
      <c r="F5" s="19"/>
      <c r="G5" s="14"/>
      <c r="H5" s="14"/>
      <c r="I5" s="14" t="str">
        <f t="shared" ref="I5:I259" ca="1" si="3">IF(K5="empty","","?utm_source="&amp;K5&amp;"&amp;utm_campaign="&amp;L5&amp;"&amp;utm_medium="&amp;M5&amp;IF(N5="content",IF(O5="empty","&amp;utm_content="&amp;N5,"&amp;utm_content="&amp;O5),IF(O5="empty","&amp;utm_content="&amp;N5,"&amp;utm_content="&amp;N5&amp;"_"&amp;O5))&amp;"&amp;utm_term="&amp;P5)</f>
        <v/>
      </c>
      <c r="J5" s="19" t="str">
        <f t="shared" ca="1" si="0"/>
        <v/>
      </c>
      <c r="K5" s="19" t="str">
        <f t="shared" ref="K5:P5" ca="1" si="4">IFERROR(__xludf.DUMMYFUNCTION("iferror(lower(regexreplace(substitute(trim(if(B5="""",""empty"",B5)),"" "",""_""),""[^A-Za-z0-9_]"","""")))"),"empty")</f>
        <v>empty</v>
      </c>
      <c r="L5" s="19" t="str">
        <f t="shared" ca="1" si="4"/>
        <v>empty</v>
      </c>
      <c r="M5" s="19" t="str">
        <f t="shared" ca="1" si="4"/>
        <v>empty</v>
      </c>
      <c r="N5" s="19" t="str">
        <f t="shared" ca="1" si="4"/>
        <v>empty</v>
      </c>
      <c r="O5" s="19" t="str">
        <f t="shared" ca="1" si="4"/>
        <v>empty</v>
      </c>
      <c r="P5" s="19" t="str">
        <f t="shared" ca="1" si="4"/>
        <v>empty</v>
      </c>
      <c r="Q5" s="15" t="str">
        <f t="shared" ca="1" si="2"/>
        <v>www.looney.com</v>
      </c>
    </row>
    <row r="6" spans="1:17" ht="15.5" x14ac:dyDescent="0.35">
      <c r="A6" s="19"/>
      <c r="B6" s="19"/>
      <c r="C6" s="19"/>
      <c r="D6" s="19"/>
      <c r="E6" s="19"/>
      <c r="F6" s="19"/>
      <c r="G6" s="19"/>
      <c r="H6" s="14"/>
      <c r="I6" s="14" t="str">
        <f t="shared" ca="1" si="3"/>
        <v/>
      </c>
      <c r="J6" s="19" t="str">
        <f t="shared" ca="1" si="0"/>
        <v/>
      </c>
      <c r="K6" s="19" t="str">
        <f t="shared" ref="K6:P6" ca="1" si="5">IFERROR(__xludf.DUMMYFUNCTION("iferror(lower(regexreplace(substitute(trim(if(B6="""",""empty"",B6)),"" "",""_""),""[^A-Za-z0-9_]"","""")))"),"empty")</f>
        <v>empty</v>
      </c>
      <c r="L6" s="19" t="str">
        <f t="shared" ca="1" si="5"/>
        <v>empty</v>
      </c>
      <c r="M6" s="19" t="str">
        <f t="shared" ca="1" si="5"/>
        <v>empty</v>
      </c>
      <c r="N6" s="19" t="str">
        <f t="shared" ca="1" si="5"/>
        <v>empty</v>
      </c>
      <c r="O6" s="19" t="str">
        <f t="shared" ca="1" si="5"/>
        <v>empty</v>
      </c>
      <c r="P6" s="19" t="str">
        <f t="shared" ca="1" si="5"/>
        <v>empty</v>
      </c>
      <c r="Q6" s="15" t="str">
        <f t="shared" ca="1" si="2"/>
        <v>www.looney.com</v>
      </c>
    </row>
    <row r="7" spans="1:17" ht="15.5" x14ac:dyDescent="0.35">
      <c r="A7" s="19"/>
      <c r="B7" s="19"/>
      <c r="C7" s="19"/>
      <c r="D7" s="19"/>
      <c r="E7" s="19"/>
      <c r="F7" s="19"/>
      <c r="G7" s="19"/>
      <c r="H7" s="14"/>
      <c r="I7" s="14" t="str">
        <f t="shared" ca="1" si="3"/>
        <v/>
      </c>
      <c r="J7" s="19" t="str">
        <f t="shared" ca="1" si="0"/>
        <v/>
      </c>
      <c r="K7" s="19" t="str">
        <f t="shared" ref="K7:P7" ca="1" si="6">IFERROR(__xludf.DUMMYFUNCTION("iferror(lower(regexreplace(substitute(trim(if(B7="""",""empty"",B7)),"" "",""_""),""[^A-Za-z0-9_]"","""")))"),"empty")</f>
        <v>empty</v>
      </c>
      <c r="L7" s="19" t="str">
        <f t="shared" ca="1" si="6"/>
        <v>empty</v>
      </c>
      <c r="M7" s="19" t="str">
        <f t="shared" ca="1" si="6"/>
        <v>empty</v>
      </c>
      <c r="N7" s="19" t="str">
        <f t="shared" ca="1" si="6"/>
        <v>empty</v>
      </c>
      <c r="O7" s="19" t="str">
        <f t="shared" ca="1" si="6"/>
        <v>empty</v>
      </c>
      <c r="P7" s="19" t="str">
        <f t="shared" ca="1" si="6"/>
        <v>empty</v>
      </c>
      <c r="Q7" s="15" t="str">
        <f t="shared" ca="1" si="2"/>
        <v>www.looney.com</v>
      </c>
    </row>
    <row r="8" spans="1:17" ht="15.5" x14ac:dyDescent="0.35">
      <c r="A8" s="19"/>
      <c r="B8" s="19"/>
      <c r="C8" s="19"/>
      <c r="D8" s="14"/>
      <c r="E8" s="19"/>
      <c r="F8" s="19"/>
      <c r="G8" s="19"/>
      <c r="H8" s="14"/>
      <c r="I8" s="14" t="str">
        <f t="shared" ca="1" si="3"/>
        <v/>
      </c>
      <c r="J8" s="19" t="str">
        <f t="shared" ca="1" si="0"/>
        <v/>
      </c>
      <c r="K8" s="19" t="str">
        <f t="shared" ref="K8:P8" ca="1" si="7">IFERROR(__xludf.DUMMYFUNCTION("iferror(lower(regexreplace(substitute(trim(if(B8="""",""empty"",B8)),"" "",""_""),""[^A-Za-z0-9_]"","""")))"),"empty")</f>
        <v>empty</v>
      </c>
      <c r="L8" s="19" t="str">
        <f t="shared" ca="1" si="7"/>
        <v>empty</v>
      </c>
      <c r="M8" s="19" t="str">
        <f t="shared" ca="1" si="7"/>
        <v>empty</v>
      </c>
      <c r="N8" s="19" t="str">
        <f t="shared" ca="1" si="7"/>
        <v>empty</v>
      </c>
      <c r="O8" s="19" t="str">
        <f t="shared" ca="1" si="7"/>
        <v>empty</v>
      </c>
      <c r="P8" s="19" t="str">
        <f t="shared" ca="1" si="7"/>
        <v>empty</v>
      </c>
      <c r="Q8" s="15" t="str">
        <f t="shared" ca="1" si="2"/>
        <v>www.looney.com</v>
      </c>
    </row>
    <row r="9" spans="1:17" ht="15.5" x14ac:dyDescent="0.35">
      <c r="A9" s="19"/>
      <c r="B9" s="19"/>
      <c r="C9" s="19"/>
      <c r="D9" s="19"/>
      <c r="E9" s="19"/>
      <c r="F9" s="19"/>
      <c r="G9" s="19"/>
      <c r="H9" s="14"/>
      <c r="I9" s="14" t="str">
        <f t="shared" ca="1" si="3"/>
        <v/>
      </c>
      <c r="J9" s="19" t="str">
        <f t="shared" ca="1" si="0"/>
        <v/>
      </c>
      <c r="K9" s="19" t="str">
        <f t="shared" ref="K9:P9" ca="1" si="8">IFERROR(__xludf.DUMMYFUNCTION("iferror(lower(regexreplace(substitute(trim(if(B9="""",""empty"",B9)),"" "",""_""),""[^A-Za-z0-9_]"","""")))"),"empty")</f>
        <v>empty</v>
      </c>
      <c r="L9" s="19" t="str">
        <f t="shared" ca="1" si="8"/>
        <v>empty</v>
      </c>
      <c r="M9" s="19" t="str">
        <f t="shared" ca="1" si="8"/>
        <v>empty</v>
      </c>
      <c r="N9" s="19" t="str">
        <f t="shared" ca="1" si="8"/>
        <v>empty</v>
      </c>
      <c r="O9" s="19" t="str">
        <f t="shared" ca="1" si="8"/>
        <v>empty</v>
      </c>
      <c r="P9" s="19" t="str">
        <f t="shared" ca="1" si="8"/>
        <v>empty</v>
      </c>
      <c r="Q9" s="15" t="str">
        <f t="shared" ca="1" si="2"/>
        <v>www.looney.com</v>
      </c>
    </row>
    <row r="10" spans="1:17" ht="15.5" x14ac:dyDescent="0.35">
      <c r="A10" s="19"/>
      <c r="B10" s="19"/>
      <c r="C10" s="19"/>
      <c r="D10" s="19"/>
      <c r="E10" s="19"/>
      <c r="F10" s="19"/>
      <c r="G10" s="19"/>
      <c r="H10" s="14"/>
      <c r="I10" s="14" t="str">
        <f t="shared" ca="1" si="3"/>
        <v/>
      </c>
      <c r="J10" s="19" t="str">
        <f t="shared" ca="1" si="0"/>
        <v/>
      </c>
      <c r="K10" s="19" t="str">
        <f t="shared" ref="K10:P10" ca="1" si="9">IFERROR(__xludf.DUMMYFUNCTION("iferror(lower(regexreplace(substitute(trim(if(B10="""",""empty"",B10)),"" "",""_""),""[^A-Za-z0-9_]"","""")))"),"empty")</f>
        <v>empty</v>
      </c>
      <c r="L10" s="19" t="str">
        <f t="shared" ca="1" si="9"/>
        <v>empty</v>
      </c>
      <c r="M10" s="19" t="str">
        <f t="shared" ca="1" si="9"/>
        <v>empty</v>
      </c>
      <c r="N10" s="19" t="str">
        <f t="shared" ca="1" si="9"/>
        <v>empty</v>
      </c>
      <c r="O10" s="19" t="str">
        <f t="shared" ca="1" si="9"/>
        <v>empty</v>
      </c>
      <c r="P10" s="19" t="str">
        <f t="shared" ca="1" si="9"/>
        <v>empty</v>
      </c>
      <c r="Q10" s="15" t="str">
        <f t="shared" ca="1" si="2"/>
        <v>www.looney.com</v>
      </c>
    </row>
    <row r="11" spans="1:17" ht="15.5" x14ac:dyDescent="0.35">
      <c r="A11" s="19"/>
      <c r="B11" s="19"/>
      <c r="C11" s="19"/>
      <c r="D11" s="19"/>
      <c r="E11" s="19"/>
      <c r="F11" s="19"/>
      <c r="G11" s="19"/>
      <c r="H11" s="14"/>
      <c r="I11" s="14" t="str">
        <f t="shared" ca="1" si="3"/>
        <v/>
      </c>
      <c r="J11" s="19" t="str">
        <f t="shared" ca="1" si="0"/>
        <v/>
      </c>
      <c r="K11" s="19" t="str">
        <f t="shared" ref="K11:P11" ca="1" si="10">IFERROR(__xludf.DUMMYFUNCTION("iferror(lower(regexreplace(substitute(trim(if(B11="""",""empty"",B11)),"" "",""_""),""[^A-Za-z0-9_]"","""")))"),"empty")</f>
        <v>empty</v>
      </c>
      <c r="L11" s="19" t="str">
        <f t="shared" ca="1" si="10"/>
        <v>empty</v>
      </c>
      <c r="M11" s="19" t="str">
        <f t="shared" ca="1" si="10"/>
        <v>empty</v>
      </c>
      <c r="N11" s="19" t="str">
        <f t="shared" ca="1" si="10"/>
        <v>empty</v>
      </c>
      <c r="O11" s="19" t="str">
        <f t="shared" ca="1" si="10"/>
        <v>empty</v>
      </c>
      <c r="P11" s="19" t="str">
        <f t="shared" ca="1" si="10"/>
        <v>empty</v>
      </c>
      <c r="Q11" s="15" t="str">
        <f t="shared" ca="1" si="2"/>
        <v>www.looney.com</v>
      </c>
    </row>
    <row r="12" spans="1:17" ht="15.5" x14ac:dyDescent="0.35">
      <c r="A12" s="19"/>
      <c r="B12" s="19"/>
      <c r="C12" s="19"/>
      <c r="D12" s="19"/>
      <c r="E12" s="19"/>
      <c r="F12" s="19"/>
      <c r="G12" s="19"/>
      <c r="H12" s="14"/>
      <c r="I12" s="14" t="str">
        <f t="shared" ca="1" si="3"/>
        <v/>
      </c>
      <c r="J12" s="19" t="str">
        <f t="shared" ca="1" si="0"/>
        <v/>
      </c>
      <c r="K12" s="19" t="str">
        <f t="shared" ref="K12:P12" ca="1" si="11">IFERROR(__xludf.DUMMYFUNCTION("iferror(lower(regexreplace(substitute(trim(if(B12="""",""empty"",B12)),"" "",""_""),""[^A-Za-z0-9_]"","""")))"),"empty")</f>
        <v>empty</v>
      </c>
      <c r="L12" s="19" t="str">
        <f t="shared" ca="1" si="11"/>
        <v>empty</v>
      </c>
      <c r="M12" s="19" t="str">
        <f t="shared" ca="1" si="11"/>
        <v>empty</v>
      </c>
      <c r="N12" s="19" t="str">
        <f t="shared" ca="1" si="11"/>
        <v>empty</v>
      </c>
      <c r="O12" s="19" t="str">
        <f t="shared" ca="1" si="11"/>
        <v>empty</v>
      </c>
      <c r="P12" s="19" t="str">
        <f t="shared" ca="1" si="11"/>
        <v>empty</v>
      </c>
      <c r="Q12" s="15" t="str">
        <f t="shared" ca="1" si="2"/>
        <v>www.looney.com</v>
      </c>
    </row>
    <row r="13" spans="1:17" ht="15.5" x14ac:dyDescent="0.35">
      <c r="A13" s="19"/>
      <c r="B13" s="19"/>
      <c r="C13" s="19"/>
      <c r="D13" s="19"/>
      <c r="E13" s="19"/>
      <c r="F13" s="19"/>
      <c r="G13" s="19"/>
      <c r="H13" s="14"/>
      <c r="I13" s="14" t="str">
        <f t="shared" ca="1" si="3"/>
        <v/>
      </c>
      <c r="J13" s="19" t="str">
        <f t="shared" ca="1" si="0"/>
        <v/>
      </c>
      <c r="K13" s="19" t="str">
        <f t="shared" ref="K13:P13" ca="1" si="12">IFERROR(__xludf.DUMMYFUNCTION("iferror(lower(regexreplace(substitute(trim(if(B13="""",""empty"",B13)),"" "",""_""),""[^A-Za-z0-9_]"","""")))"),"empty")</f>
        <v>empty</v>
      </c>
      <c r="L13" s="19" t="str">
        <f t="shared" ca="1" si="12"/>
        <v>empty</v>
      </c>
      <c r="M13" s="19" t="str">
        <f t="shared" ca="1" si="12"/>
        <v>empty</v>
      </c>
      <c r="N13" s="19" t="str">
        <f t="shared" ca="1" si="12"/>
        <v>empty</v>
      </c>
      <c r="O13" s="19" t="str">
        <f t="shared" ca="1" si="12"/>
        <v>empty</v>
      </c>
      <c r="P13" s="19" t="str">
        <f t="shared" ca="1" si="12"/>
        <v>empty</v>
      </c>
      <c r="Q13" s="15" t="str">
        <f t="shared" ca="1" si="2"/>
        <v>www.looney.com</v>
      </c>
    </row>
    <row r="14" spans="1:17" ht="15.5" x14ac:dyDescent="0.35">
      <c r="A14" s="19"/>
      <c r="B14" s="19"/>
      <c r="C14" s="19"/>
      <c r="D14" s="19"/>
      <c r="E14" s="19"/>
      <c r="F14" s="19"/>
      <c r="G14" s="19"/>
      <c r="H14" s="14"/>
      <c r="I14" s="14" t="str">
        <f t="shared" ca="1" si="3"/>
        <v/>
      </c>
      <c r="J14" s="19" t="str">
        <f t="shared" ca="1" si="0"/>
        <v/>
      </c>
      <c r="K14" s="19" t="str">
        <f t="shared" ref="K14:P14" ca="1" si="13">IFERROR(__xludf.DUMMYFUNCTION("iferror(lower(regexreplace(substitute(trim(if(B14="""",""empty"",B14)),"" "",""_""),""[^A-Za-z0-9_]"","""")))"),"empty")</f>
        <v>empty</v>
      </c>
      <c r="L14" s="19" t="str">
        <f t="shared" ca="1" si="13"/>
        <v>empty</v>
      </c>
      <c r="M14" s="19" t="str">
        <f t="shared" ca="1" si="13"/>
        <v>empty</v>
      </c>
      <c r="N14" s="19" t="str">
        <f t="shared" ca="1" si="13"/>
        <v>empty</v>
      </c>
      <c r="O14" s="19" t="str">
        <f t="shared" ca="1" si="13"/>
        <v>empty</v>
      </c>
      <c r="P14" s="19" t="str">
        <f t="shared" ca="1" si="13"/>
        <v>empty</v>
      </c>
      <c r="Q14" s="15" t="str">
        <f t="shared" ca="1" si="2"/>
        <v>www.looney.com</v>
      </c>
    </row>
    <row r="15" spans="1:17" ht="15.5" x14ac:dyDescent="0.35">
      <c r="A15" s="19"/>
      <c r="B15" s="19"/>
      <c r="C15" s="19"/>
      <c r="D15" s="19"/>
      <c r="E15" s="19"/>
      <c r="F15" s="19"/>
      <c r="G15" s="19"/>
      <c r="H15" s="14"/>
      <c r="I15" s="14" t="str">
        <f t="shared" ca="1" si="3"/>
        <v/>
      </c>
      <c r="J15" s="19" t="str">
        <f t="shared" ca="1" si="0"/>
        <v/>
      </c>
      <c r="K15" s="19" t="str">
        <f t="shared" ref="K15:P15" ca="1" si="14">IFERROR(__xludf.DUMMYFUNCTION("iferror(lower(regexreplace(substitute(trim(if(B15="""",""empty"",B15)),"" "",""_""),""[^A-Za-z0-9_]"","""")))"),"empty")</f>
        <v>empty</v>
      </c>
      <c r="L15" s="19" t="str">
        <f t="shared" ca="1" si="14"/>
        <v>empty</v>
      </c>
      <c r="M15" s="19" t="str">
        <f t="shared" ca="1" si="14"/>
        <v>empty</v>
      </c>
      <c r="N15" s="19" t="str">
        <f t="shared" ca="1" si="14"/>
        <v>empty</v>
      </c>
      <c r="O15" s="19" t="str">
        <f t="shared" ca="1" si="14"/>
        <v>empty</v>
      </c>
      <c r="P15" s="19" t="str">
        <f t="shared" ca="1" si="14"/>
        <v>empty</v>
      </c>
      <c r="Q15" s="15" t="str">
        <f t="shared" ca="1" si="2"/>
        <v>www.looney.com</v>
      </c>
    </row>
    <row r="16" spans="1:17" ht="15.5" x14ac:dyDescent="0.35">
      <c r="A16" s="19"/>
      <c r="B16" s="19"/>
      <c r="C16" s="19"/>
      <c r="D16" s="19"/>
      <c r="E16" s="19"/>
      <c r="F16" s="19"/>
      <c r="G16" s="19"/>
      <c r="H16" s="14"/>
      <c r="I16" s="14" t="str">
        <f t="shared" ca="1" si="3"/>
        <v/>
      </c>
      <c r="J16" s="19" t="str">
        <f t="shared" ca="1" si="0"/>
        <v/>
      </c>
      <c r="K16" s="19" t="str">
        <f t="shared" ref="K16:P16" ca="1" si="15">IFERROR(__xludf.DUMMYFUNCTION("iferror(lower(regexreplace(substitute(trim(if(B16="""",""empty"",B16)),"" "",""_""),""[^A-Za-z0-9_]"","""")))"),"empty")</f>
        <v>empty</v>
      </c>
      <c r="L16" s="19" t="str">
        <f t="shared" ca="1" si="15"/>
        <v>empty</v>
      </c>
      <c r="M16" s="19" t="str">
        <f t="shared" ca="1" si="15"/>
        <v>empty</v>
      </c>
      <c r="N16" s="19" t="str">
        <f t="shared" ca="1" si="15"/>
        <v>empty</v>
      </c>
      <c r="O16" s="19" t="str">
        <f t="shared" ca="1" si="15"/>
        <v>empty</v>
      </c>
      <c r="P16" s="19" t="str">
        <f t="shared" ca="1" si="15"/>
        <v>empty</v>
      </c>
      <c r="Q16" s="15" t="str">
        <f t="shared" ca="1" si="2"/>
        <v>www.looney.com</v>
      </c>
    </row>
    <row r="17" spans="1:17" ht="15.5" x14ac:dyDescent="0.35">
      <c r="A17" s="19"/>
      <c r="B17" s="19"/>
      <c r="C17" s="19"/>
      <c r="D17" s="19"/>
      <c r="E17" s="19"/>
      <c r="F17" s="19"/>
      <c r="G17" s="19"/>
      <c r="H17" s="14"/>
      <c r="I17" s="14" t="str">
        <f t="shared" ca="1" si="3"/>
        <v/>
      </c>
      <c r="J17" s="19" t="str">
        <f t="shared" ca="1" si="0"/>
        <v/>
      </c>
      <c r="K17" s="19" t="str">
        <f t="shared" ref="K17:P17" ca="1" si="16">IFERROR(__xludf.DUMMYFUNCTION("iferror(lower(regexreplace(substitute(trim(if(B17="""",""empty"",B17)),"" "",""_""),""[^A-Za-z0-9_]"","""")))"),"empty")</f>
        <v>empty</v>
      </c>
      <c r="L17" s="19" t="str">
        <f t="shared" ca="1" si="16"/>
        <v>empty</v>
      </c>
      <c r="M17" s="19" t="str">
        <f t="shared" ca="1" si="16"/>
        <v>empty</v>
      </c>
      <c r="N17" s="19" t="str">
        <f t="shared" ca="1" si="16"/>
        <v>empty</v>
      </c>
      <c r="O17" s="19" t="str">
        <f t="shared" ca="1" si="16"/>
        <v>empty</v>
      </c>
      <c r="P17" s="19" t="str">
        <f t="shared" ca="1" si="16"/>
        <v>empty</v>
      </c>
      <c r="Q17" s="15" t="str">
        <f t="shared" ca="1" si="2"/>
        <v>www.looney.com</v>
      </c>
    </row>
    <row r="18" spans="1:17" ht="15.5" x14ac:dyDescent="0.35">
      <c r="A18" s="19"/>
      <c r="B18" s="19"/>
      <c r="C18" s="19"/>
      <c r="D18" s="19"/>
      <c r="E18" s="19"/>
      <c r="F18" s="19"/>
      <c r="G18" s="19"/>
      <c r="H18" s="14"/>
      <c r="I18" s="14" t="str">
        <f t="shared" ca="1" si="3"/>
        <v/>
      </c>
      <c r="J18" s="19" t="str">
        <f t="shared" ca="1" si="0"/>
        <v/>
      </c>
      <c r="K18" s="19" t="str">
        <f t="shared" ref="K18:P18" ca="1" si="17">IFERROR(__xludf.DUMMYFUNCTION("iferror(lower(regexreplace(substitute(trim(if(B18="""",""empty"",B18)),"" "",""_""),""[^A-Za-z0-9_]"","""")))"),"empty")</f>
        <v>empty</v>
      </c>
      <c r="L18" s="19" t="str">
        <f t="shared" ca="1" si="17"/>
        <v>empty</v>
      </c>
      <c r="M18" s="19" t="str">
        <f t="shared" ca="1" si="17"/>
        <v>empty</v>
      </c>
      <c r="N18" s="19" t="str">
        <f t="shared" ca="1" si="17"/>
        <v>empty</v>
      </c>
      <c r="O18" s="19" t="str">
        <f t="shared" ca="1" si="17"/>
        <v>empty</v>
      </c>
      <c r="P18" s="19" t="str">
        <f t="shared" ca="1" si="17"/>
        <v>empty</v>
      </c>
      <c r="Q18" s="15" t="str">
        <f t="shared" ca="1" si="2"/>
        <v>www.looney.com</v>
      </c>
    </row>
    <row r="19" spans="1:17" ht="15.5" x14ac:dyDescent="0.35">
      <c r="A19" s="19"/>
      <c r="B19" s="19"/>
      <c r="C19" s="19"/>
      <c r="D19" s="19"/>
      <c r="E19" s="19"/>
      <c r="F19" s="19"/>
      <c r="G19" s="19"/>
      <c r="H19" s="14"/>
      <c r="I19" s="14" t="str">
        <f t="shared" ca="1" si="3"/>
        <v/>
      </c>
      <c r="J19" s="19" t="str">
        <f t="shared" ca="1" si="0"/>
        <v/>
      </c>
      <c r="K19" s="19" t="str">
        <f t="shared" ref="K19:P19" ca="1" si="18">IFERROR(__xludf.DUMMYFUNCTION("iferror(lower(regexreplace(substitute(trim(if(B19="""",""empty"",B19)),"" "",""_""),""[^A-Za-z0-9_]"","""")))"),"empty")</f>
        <v>empty</v>
      </c>
      <c r="L19" s="19" t="str">
        <f t="shared" ca="1" si="18"/>
        <v>empty</v>
      </c>
      <c r="M19" s="19" t="str">
        <f t="shared" ca="1" si="18"/>
        <v>empty</v>
      </c>
      <c r="N19" s="19" t="str">
        <f t="shared" ca="1" si="18"/>
        <v>empty</v>
      </c>
      <c r="O19" s="19" t="str">
        <f t="shared" ca="1" si="18"/>
        <v>empty</v>
      </c>
      <c r="P19" s="19" t="str">
        <f t="shared" ca="1" si="18"/>
        <v>empty</v>
      </c>
      <c r="Q19" s="15" t="str">
        <f t="shared" ca="1" si="2"/>
        <v>www.looney.com</v>
      </c>
    </row>
    <row r="20" spans="1:17" ht="15.5" x14ac:dyDescent="0.35">
      <c r="A20" s="19"/>
      <c r="B20" s="19"/>
      <c r="C20" s="19"/>
      <c r="D20" s="19"/>
      <c r="E20" s="19"/>
      <c r="F20" s="19"/>
      <c r="G20" s="19"/>
      <c r="H20" s="14"/>
      <c r="I20" s="14" t="str">
        <f t="shared" ca="1" si="3"/>
        <v/>
      </c>
      <c r="J20" s="19" t="str">
        <f t="shared" ca="1" si="0"/>
        <v/>
      </c>
      <c r="K20" s="19" t="str">
        <f t="shared" ref="K20:P20" ca="1" si="19">IFERROR(__xludf.DUMMYFUNCTION("iferror(lower(regexreplace(substitute(trim(if(B20="""",""empty"",B20)),"" "",""_""),""[^A-Za-z0-9_]"","""")))"),"empty")</f>
        <v>empty</v>
      </c>
      <c r="L20" s="19" t="str">
        <f t="shared" ca="1" si="19"/>
        <v>empty</v>
      </c>
      <c r="M20" s="19" t="str">
        <f t="shared" ca="1" si="19"/>
        <v>empty</v>
      </c>
      <c r="N20" s="19" t="str">
        <f t="shared" ca="1" si="19"/>
        <v>empty</v>
      </c>
      <c r="O20" s="19" t="str">
        <f t="shared" ca="1" si="19"/>
        <v>empty</v>
      </c>
      <c r="P20" s="19" t="str">
        <f t="shared" ca="1" si="19"/>
        <v>empty</v>
      </c>
      <c r="Q20" s="15" t="str">
        <f t="shared" ca="1" si="2"/>
        <v>www.looney.com</v>
      </c>
    </row>
    <row r="21" spans="1:17" ht="15.5" x14ac:dyDescent="0.35">
      <c r="A21" s="19"/>
      <c r="B21" s="19"/>
      <c r="C21" s="19"/>
      <c r="D21" s="19"/>
      <c r="E21" s="19"/>
      <c r="F21" s="19"/>
      <c r="G21" s="19"/>
      <c r="H21" s="14"/>
      <c r="I21" s="14" t="str">
        <f t="shared" ca="1" si="3"/>
        <v/>
      </c>
      <c r="J21" s="19" t="str">
        <f t="shared" ca="1" si="0"/>
        <v/>
      </c>
      <c r="K21" s="19" t="str">
        <f t="shared" ref="K21:P21" ca="1" si="20">IFERROR(__xludf.DUMMYFUNCTION("iferror(lower(regexreplace(substitute(trim(if(B21="""",""empty"",B21)),"" "",""_""),""[^A-Za-z0-9_]"","""")))"),"empty")</f>
        <v>empty</v>
      </c>
      <c r="L21" s="19" t="str">
        <f t="shared" ca="1" si="20"/>
        <v>empty</v>
      </c>
      <c r="M21" s="19" t="str">
        <f t="shared" ca="1" si="20"/>
        <v>empty</v>
      </c>
      <c r="N21" s="19" t="str">
        <f t="shared" ca="1" si="20"/>
        <v>empty</v>
      </c>
      <c r="O21" s="19" t="str">
        <f t="shared" ca="1" si="20"/>
        <v>empty</v>
      </c>
      <c r="P21" s="19" t="str">
        <f t="shared" ca="1" si="20"/>
        <v>empty</v>
      </c>
      <c r="Q21" s="15" t="str">
        <f t="shared" ca="1" si="2"/>
        <v>www.looney.com</v>
      </c>
    </row>
    <row r="22" spans="1:17" ht="15.5" x14ac:dyDescent="0.35">
      <c r="A22" s="19"/>
      <c r="B22" s="19"/>
      <c r="C22" s="19"/>
      <c r="D22" s="19"/>
      <c r="E22" s="19"/>
      <c r="F22" s="19"/>
      <c r="G22" s="19"/>
      <c r="H22" s="14"/>
      <c r="I22" s="14" t="str">
        <f t="shared" ca="1" si="3"/>
        <v/>
      </c>
      <c r="J22" s="19" t="str">
        <f t="shared" ca="1" si="0"/>
        <v/>
      </c>
      <c r="K22" s="19" t="str">
        <f t="shared" ref="K22:P22" ca="1" si="21">IFERROR(__xludf.DUMMYFUNCTION("iferror(lower(regexreplace(substitute(trim(if(B22="""",""empty"",B22)),"" "",""_""),""[^A-Za-z0-9_]"","""")))"),"empty")</f>
        <v>empty</v>
      </c>
      <c r="L22" s="19" t="str">
        <f t="shared" ca="1" si="21"/>
        <v>empty</v>
      </c>
      <c r="M22" s="19" t="str">
        <f t="shared" ca="1" si="21"/>
        <v>empty</v>
      </c>
      <c r="N22" s="19" t="str">
        <f t="shared" ca="1" si="21"/>
        <v>empty</v>
      </c>
      <c r="O22" s="19" t="str">
        <f t="shared" ca="1" si="21"/>
        <v>empty</v>
      </c>
      <c r="P22" s="19" t="str">
        <f t="shared" ca="1" si="21"/>
        <v>empty</v>
      </c>
      <c r="Q22" s="15" t="str">
        <f t="shared" ca="1" si="2"/>
        <v>www.looney.com</v>
      </c>
    </row>
    <row r="23" spans="1:17" ht="15.5" x14ac:dyDescent="0.35">
      <c r="A23" s="19"/>
      <c r="B23" s="19"/>
      <c r="C23" s="19"/>
      <c r="D23" s="19"/>
      <c r="E23" s="19"/>
      <c r="F23" s="19"/>
      <c r="G23" s="19"/>
      <c r="H23" s="14"/>
      <c r="I23" s="14" t="str">
        <f t="shared" ca="1" si="3"/>
        <v/>
      </c>
      <c r="J23" s="19" t="str">
        <f t="shared" ca="1" si="0"/>
        <v/>
      </c>
      <c r="K23" s="19" t="str">
        <f t="shared" ref="K23:P23" ca="1" si="22">IFERROR(__xludf.DUMMYFUNCTION("iferror(lower(regexreplace(substitute(trim(if(B23="""",""empty"",B23)),"" "",""_""),""[^A-Za-z0-9_]"","""")))"),"empty")</f>
        <v>empty</v>
      </c>
      <c r="L23" s="19" t="str">
        <f t="shared" ca="1" si="22"/>
        <v>empty</v>
      </c>
      <c r="M23" s="19" t="str">
        <f t="shared" ca="1" si="22"/>
        <v>empty</v>
      </c>
      <c r="N23" s="19" t="str">
        <f t="shared" ca="1" si="22"/>
        <v>empty</v>
      </c>
      <c r="O23" s="19" t="str">
        <f t="shared" ca="1" si="22"/>
        <v>empty</v>
      </c>
      <c r="P23" s="19" t="str">
        <f t="shared" ca="1" si="22"/>
        <v>empty</v>
      </c>
      <c r="Q23" s="15" t="str">
        <f t="shared" ca="1" si="2"/>
        <v>www.looney.com</v>
      </c>
    </row>
    <row r="24" spans="1:17" ht="15.5" x14ac:dyDescent="0.35">
      <c r="A24" s="19"/>
      <c r="B24" s="19"/>
      <c r="C24" s="19"/>
      <c r="D24" s="19"/>
      <c r="E24" s="19"/>
      <c r="F24" s="19"/>
      <c r="G24" s="19"/>
      <c r="H24" s="14"/>
      <c r="I24" s="14" t="str">
        <f t="shared" ca="1" si="3"/>
        <v/>
      </c>
      <c r="J24" s="19" t="str">
        <f t="shared" ca="1" si="0"/>
        <v/>
      </c>
      <c r="K24" s="19" t="str">
        <f t="shared" ref="K24:P24" ca="1" si="23">IFERROR(__xludf.DUMMYFUNCTION("iferror(lower(regexreplace(substitute(trim(if(B24="""",""empty"",B24)),"" "",""_""),""[^A-Za-z0-9_]"","""")))"),"empty")</f>
        <v>empty</v>
      </c>
      <c r="L24" s="19" t="str">
        <f t="shared" ca="1" si="23"/>
        <v>empty</v>
      </c>
      <c r="M24" s="19" t="str">
        <f t="shared" ca="1" si="23"/>
        <v>empty</v>
      </c>
      <c r="N24" s="19" t="str">
        <f t="shared" ca="1" si="23"/>
        <v>empty</v>
      </c>
      <c r="O24" s="19" t="str">
        <f t="shared" ca="1" si="23"/>
        <v>empty</v>
      </c>
      <c r="P24" s="19" t="str">
        <f t="shared" ca="1" si="23"/>
        <v>empty</v>
      </c>
      <c r="Q24" s="15" t="str">
        <f t="shared" ca="1" si="2"/>
        <v>www.looney.com</v>
      </c>
    </row>
    <row r="25" spans="1:17" ht="15.5" x14ac:dyDescent="0.35">
      <c r="A25" s="19"/>
      <c r="B25" s="19"/>
      <c r="C25" s="19"/>
      <c r="D25" s="19"/>
      <c r="E25" s="19"/>
      <c r="F25" s="19"/>
      <c r="G25" s="19"/>
      <c r="H25" s="14"/>
      <c r="I25" s="14" t="str">
        <f t="shared" ca="1" si="3"/>
        <v/>
      </c>
      <c r="J25" s="19" t="str">
        <f t="shared" ca="1" si="0"/>
        <v/>
      </c>
      <c r="K25" s="19" t="str">
        <f t="shared" ref="K25:P25" ca="1" si="24">IFERROR(__xludf.DUMMYFUNCTION("iferror(lower(regexreplace(substitute(trim(if(B25="""",""empty"",B25)),"" "",""_""),""[^A-Za-z0-9_]"","""")))"),"empty")</f>
        <v>empty</v>
      </c>
      <c r="L25" s="19" t="str">
        <f t="shared" ca="1" si="24"/>
        <v>empty</v>
      </c>
      <c r="M25" s="19" t="str">
        <f t="shared" ca="1" si="24"/>
        <v>empty</v>
      </c>
      <c r="N25" s="19" t="str">
        <f t="shared" ca="1" si="24"/>
        <v>empty</v>
      </c>
      <c r="O25" s="19" t="str">
        <f t="shared" ca="1" si="24"/>
        <v>empty</v>
      </c>
      <c r="P25" s="19" t="str">
        <f t="shared" ca="1" si="24"/>
        <v>empty</v>
      </c>
      <c r="Q25" s="15" t="str">
        <f t="shared" ca="1" si="2"/>
        <v>www.looney.com</v>
      </c>
    </row>
    <row r="26" spans="1:17" ht="15.5" x14ac:dyDescent="0.35">
      <c r="A26" s="19"/>
      <c r="B26" s="19"/>
      <c r="C26" s="19"/>
      <c r="D26" s="19"/>
      <c r="E26" s="19"/>
      <c r="F26" s="19"/>
      <c r="G26" s="19"/>
      <c r="H26" s="14"/>
      <c r="I26" s="14" t="str">
        <f t="shared" ca="1" si="3"/>
        <v/>
      </c>
      <c r="J26" s="19" t="str">
        <f t="shared" ca="1" si="0"/>
        <v/>
      </c>
      <c r="K26" s="19" t="str">
        <f t="shared" ref="K26:P26" ca="1" si="25">IFERROR(__xludf.DUMMYFUNCTION("iferror(lower(regexreplace(substitute(trim(if(B26="""",""empty"",B26)),"" "",""_""),""[^A-Za-z0-9_]"","""")))"),"empty")</f>
        <v>empty</v>
      </c>
      <c r="L26" s="19" t="str">
        <f t="shared" ca="1" si="25"/>
        <v>empty</v>
      </c>
      <c r="M26" s="19" t="str">
        <f t="shared" ca="1" si="25"/>
        <v>empty</v>
      </c>
      <c r="N26" s="19" t="str">
        <f t="shared" ca="1" si="25"/>
        <v>empty</v>
      </c>
      <c r="O26" s="19" t="str">
        <f t="shared" ca="1" si="25"/>
        <v>empty</v>
      </c>
      <c r="P26" s="19" t="str">
        <f t="shared" ca="1" si="25"/>
        <v>empty</v>
      </c>
      <c r="Q26" s="15" t="str">
        <f t="shared" ca="1" si="2"/>
        <v>www.looney.com</v>
      </c>
    </row>
    <row r="27" spans="1:17" ht="15.5" x14ac:dyDescent="0.35">
      <c r="A27" s="19"/>
      <c r="B27" s="19"/>
      <c r="C27" s="19"/>
      <c r="D27" s="19"/>
      <c r="E27" s="19"/>
      <c r="F27" s="19"/>
      <c r="G27" s="19"/>
      <c r="H27" s="14"/>
      <c r="I27" s="14" t="str">
        <f t="shared" ca="1" si="3"/>
        <v/>
      </c>
      <c r="J27" s="19" t="str">
        <f t="shared" ca="1" si="0"/>
        <v/>
      </c>
      <c r="K27" s="19" t="str">
        <f t="shared" ref="K27:P27" ca="1" si="26">IFERROR(__xludf.DUMMYFUNCTION("iferror(lower(regexreplace(substitute(trim(if(B27="""",""empty"",B27)),"" "",""_""),""[^A-Za-z0-9_]"","""")))"),"empty")</f>
        <v>empty</v>
      </c>
      <c r="L27" s="19" t="str">
        <f t="shared" ca="1" si="26"/>
        <v>empty</v>
      </c>
      <c r="M27" s="19" t="str">
        <f t="shared" ca="1" si="26"/>
        <v>empty</v>
      </c>
      <c r="N27" s="19" t="str">
        <f t="shared" ca="1" si="26"/>
        <v>empty</v>
      </c>
      <c r="O27" s="19" t="str">
        <f t="shared" ca="1" si="26"/>
        <v>empty</v>
      </c>
      <c r="P27" s="19" t="str">
        <f t="shared" ca="1" si="26"/>
        <v>empty</v>
      </c>
      <c r="Q27" s="15" t="str">
        <f t="shared" ca="1" si="2"/>
        <v>www.looney.com</v>
      </c>
    </row>
    <row r="28" spans="1:17" ht="15.5" x14ac:dyDescent="0.35">
      <c r="A28" s="19"/>
      <c r="B28" s="19"/>
      <c r="C28" s="19"/>
      <c r="D28" s="19"/>
      <c r="E28" s="19"/>
      <c r="F28" s="19"/>
      <c r="G28" s="19"/>
      <c r="H28" s="14"/>
      <c r="I28" s="14" t="str">
        <f t="shared" ca="1" si="3"/>
        <v/>
      </c>
      <c r="J28" s="19" t="str">
        <f t="shared" ca="1" si="0"/>
        <v/>
      </c>
      <c r="K28" s="19" t="str">
        <f t="shared" ref="K28:P28" ca="1" si="27">IFERROR(__xludf.DUMMYFUNCTION("iferror(lower(regexreplace(substitute(trim(if(B28="""",""empty"",B28)),"" "",""_""),""[^A-Za-z0-9_]"","""")))"),"empty")</f>
        <v>empty</v>
      </c>
      <c r="L28" s="19" t="str">
        <f t="shared" ca="1" si="27"/>
        <v>empty</v>
      </c>
      <c r="M28" s="19" t="str">
        <f t="shared" ca="1" si="27"/>
        <v>empty</v>
      </c>
      <c r="N28" s="19" t="str">
        <f t="shared" ca="1" si="27"/>
        <v>empty</v>
      </c>
      <c r="O28" s="19" t="str">
        <f t="shared" ca="1" si="27"/>
        <v>empty</v>
      </c>
      <c r="P28" s="19" t="str">
        <f t="shared" ca="1" si="27"/>
        <v>empty</v>
      </c>
      <c r="Q28" s="15" t="str">
        <f t="shared" ca="1" si="2"/>
        <v>www.looney.com</v>
      </c>
    </row>
    <row r="29" spans="1:17" ht="15.5" x14ac:dyDescent="0.35">
      <c r="A29" s="19"/>
      <c r="B29" s="19"/>
      <c r="C29" s="19"/>
      <c r="D29" s="19"/>
      <c r="E29" s="19"/>
      <c r="F29" s="19"/>
      <c r="G29" s="19"/>
      <c r="H29" s="14"/>
      <c r="I29" s="14" t="str">
        <f t="shared" ca="1" si="3"/>
        <v/>
      </c>
      <c r="J29" s="19" t="str">
        <f t="shared" ca="1" si="0"/>
        <v/>
      </c>
      <c r="K29" s="19" t="str">
        <f t="shared" ref="K29:P29" ca="1" si="28">IFERROR(__xludf.DUMMYFUNCTION("iferror(lower(regexreplace(substitute(trim(if(B29="""",""empty"",B29)),"" "",""_""),""[^A-Za-z0-9_]"","""")))"),"empty")</f>
        <v>empty</v>
      </c>
      <c r="L29" s="19" t="str">
        <f t="shared" ca="1" si="28"/>
        <v>empty</v>
      </c>
      <c r="M29" s="19" t="str">
        <f t="shared" ca="1" si="28"/>
        <v>empty</v>
      </c>
      <c r="N29" s="19" t="str">
        <f t="shared" ca="1" si="28"/>
        <v>empty</v>
      </c>
      <c r="O29" s="19" t="str">
        <f t="shared" ca="1" si="28"/>
        <v>empty</v>
      </c>
      <c r="P29" s="19" t="str">
        <f t="shared" ca="1" si="28"/>
        <v>empty</v>
      </c>
      <c r="Q29" s="15" t="str">
        <f t="shared" ca="1" si="2"/>
        <v>www.looney.com</v>
      </c>
    </row>
    <row r="30" spans="1:17" ht="15.5" x14ac:dyDescent="0.35">
      <c r="A30" s="19"/>
      <c r="B30" s="19"/>
      <c r="C30" s="19"/>
      <c r="D30" s="19"/>
      <c r="E30" s="19"/>
      <c r="F30" s="19"/>
      <c r="G30" s="19"/>
      <c r="H30" s="14"/>
      <c r="I30" s="14" t="str">
        <f t="shared" ca="1" si="3"/>
        <v/>
      </c>
      <c r="J30" s="19" t="str">
        <f t="shared" ca="1" si="0"/>
        <v/>
      </c>
      <c r="K30" s="19" t="str">
        <f t="shared" ref="K30:P30" ca="1" si="29">IFERROR(__xludf.DUMMYFUNCTION("iferror(lower(regexreplace(substitute(trim(if(B30="""",""empty"",B30)),"" "",""_""),""[^A-Za-z0-9_]"","""")))"),"empty")</f>
        <v>empty</v>
      </c>
      <c r="L30" s="19" t="str">
        <f t="shared" ca="1" si="29"/>
        <v>empty</v>
      </c>
      <c r="M30" s="19" t="str">
        <f t="shared" ca="1" si="29"/>
        <v>empty</v>
      </c>
      <c r="N30" s="19" t="str">
        <f t="shared" ca="1" si="29"/>
        <v>empty</v>
      </c>
      <c r="O30" s="19" t="str">
        <f t="shared" ca="1" si="29"/>
        <v>empty</v>
      </c>
      <c r="P30" s="19" t="str">
        <f t="shared" ca="1" si="29"/>
        <v>empty</v>
      </c>
      <c r="Q30" s="15" t="str">
        <f t="shared" ca="1" si="2"/>
        <v>www.looney.com</v>
      </c>
    </row>
    <row r="31" spans="1:17" ht="15.5" x14ac:dyDescent="0.35">
      <c r="A31" s="19"/>
      <c r="B31" s="19"/>
      <c r="C31" s="19"/>
      <c r="D31" s="19"/>
      <c r="E31" s="19"/>
      <c r="F31" s="19"/>
      <c r="G31" s="19"/>
      <c r="H31" s="14"/>
      <c r="I31" s="14" t="str">
        <f t="shared" ca="1" si="3"/>
        <v/>
      </c>
      <c r="J31" s="19" t="str">
        <f t="shared" ca="1" si="0"/>
        <v/>
      </c>
      <c r="K31" s="19" t="str">
        <f t="shared" ref="K31:P31" ca="1" si="30">IFERROR(__xludf.DUMMYFUNCTION("iferror(lower(regexreplace(substitute(trim(if(B31="""",""empty"",B31)),"" "",""_""),""[^A-Za-z0-9_]"","""")))"),"empty")</f>
        <v>empty</v>
      </c>
      <c r="L31" s="19" t="str">
        <f t="shared" ca="1" si="30"/>
        <v>empty</v>
      </c>
      <c r="M31" s="19" t="str">
        <f t="shared" ca="1" si="30"/>
        <v>empty</v>
      </c>
      <c r="N31" s="19" t="str">
        <f t="shared" ca="1" si="30"/>
        <v>empty</v>
      </c>
      <c r="O31" s="19" t="str">
        <f t="shared" ca="1" si="30"/>
        <v>empty</v>
      </c>
      <c r="P31" s="19" t="str">
        <f t="shared" ca="1" si="30"/>
        <v>empty</v>
      </c>
      <c r="Q31" s="15" t="str">
        <f t="shared" ca="1" si="2"/>
        <v>www.looney.com</v>
      </c>
    </row>
    <row r="32" spans="1:17" ht="15.5" x14ac:dyDescent="0.35">
      <c r="A32" s="19"/>
      <c r="B32" s="19"/>
      <c r="C32" s="19"/>
      <c r="D32" s="19"/>
      <c r="E32" s="19"/>
      <c r="F32" s="19"/>
      <c r="G32" s="19"/>
      <c r="H32" s="14"/>
      <c r="I32" s="14" t="str">
        <f t="shared" ca="1" si="3"/>
        <v/>
      </c>
      <c r="J32" s="19" t="str">
        <f t="shared" ca="1" si="0"/>
        <v/>
      </c>
      <c r="K32" s="19" t="str">
        <f t="shared" ref="K32:P32" ca="1" si="31">IFERROR(__xludf.DUMMYFUNCTION("iferror(lower(regexreplace(substitute(trim(if(B32="""",""empty"",B32)),"" "",""_""),""[^A-Za-z0-9_]"","""")))"),"empty")</f>
        <v>empty</v>
      </c>
      <c r="L32" s="19" t="str">
        <f t="shared" ca="1" si="31"/>
        <v>empty</v>
      </c>
      <c r="M32" s="19" t="str">
        <f t="shared" ca="1" si="31"/>
        <v>empty</v>
      </c>
      <c r="N32" s="19" t="str">
        <f t="shared" ca="1" si="31"/>
        <v>empty</v>
      </c>
      <c r="O32" s="19" t="str">
        <f t="shared" ca="1" si="31"/>
        <v>empty</v>
      </c>
      <c r="P32" s="19" t="str">
        <f t="shared" ca="1" si="31"/>
        <v>empty</v>
      </c>
      <c r="Q32" s="15" t="str">
        <f t="shared" ca="1" si="2"/>
        <v>www.looney.com</v>
      </c>
    </row>
    <row r="33" spans="1:17" ht="15.5" x14ac:dyDescent="0.35">
      <c r="A33" s="19"/>
      <c r="B33" s="19"/>
      <c r="C33" s="19"/>
      <c r="D33" s="19"/>
      <c r="E33" s="19"/>
      <c r="F33" s="19"/>
      <c r="G33" s="19"/>
      <c r="H33" s="14"/>
      <c r="I33" s="14" t="str">
        <f t="shared" ca="1" si="3"/>
        <v/>
      </c>
      <c r="J33" s="19" t="str">
        <f t="shared" ca="1" si="0"/>
        <v/>
      </c>
      <c r="K33" s="19" t="str">
        <f t="shared" ref="K33:P33" ca="1" si="32">IFERROR(__xludf.DUMMYFUNCTION("iferror(lower(regexreplace(substitute(trim(if(B33="""",""empty"",B33)),"" "",""_""),""[^A-Za-z0-9_]"","""")))"),"empty")</f>
        <v>empty</v>
      </c>
      <c r="L33" s="19" t="str">
        <f t="shared" ca="1" si="32"/>
        <v>empty</v>
      </c>
      <c r="M33" s="19" t="str">
        <f t="shared" ca="1" si="32"/>
        <v>empty</v>
      </c>
      <c r="N33" s="19" t="str">
        <f t="shared" ca="1" si="32"/>
        <v>empty</v>
      </c>
      <c r="O33" s="19" t="str">
        <f t="shared" ca="1" si="32"/>
        <v>empty</v>
      </c>
      <c r="P33" s="19" t="str">
        <f t="shared" ca="1" si="32"/>
        <v>empty</v>
      </c>
      <c r="Q33" s="15" t="str">
        <f t="shared" ca="1" si="2"/>
        <v>www.looney.com</v>
      </c>
    </row>
    <row r="34" spans="1:17" ht="15.5" x14ac:dyDescent="0.35">
      <c r="A34" s="19"/>
      <c r="B34" s="19"/>
      <c r="C34" s="19"/>
      <c r="D34" s="19"/>
      <c r="E34" s="19"/>
      <c r="F34" s="19"/>
      <c r="G34" s="19"/>
      <c r="H34" s="14"/>
      <c r="I34" s="14" t="str">
        <f t="shared" ca="1" si="3"/>
        <v/>
      </c>
      <c r="J34" s="19" t="str">
        <f t="shared" ca="1" si="0"/>
        <v/>
      </c>
      <c r="K34" s="19" t="str">
        <f t="shared" ref="K34:P34" ca="1" si="33">IFERROR(__xludf.DUMMYFUNCTION("iferror(lower(regexreplace(substitute(trim(if(B34="""",""empty"",B34)),"" "",""_""),""[^A-Za-z0-9_]"","""")))"),"empty")</f>
        <v>empty</v>
      </c>
      <c r="L34" s="19" t="str">
        <f t="shared" ca="1" si="33"/>
        <v>empty</v>
      </c>
      <c r="M34" s="19" t="str">
        <f t="shared" ca="1" si="33"/>
        <v>empty</v>
      </c>
      <c r="N34" s="19" t="str">
        <f t="shared" ca="1" si="33"/>
        <v>empty</v>
      </c>
      <c r="O34" s="19" t="str">
        <f t="shared" ca="1" si="33"/>
        <v>empty</v>
      </c>
      <c r="P34" s="19" t="str">
        <f t="shared" ca="1" si="33"/>
        <v>empty</v>
      </c>
      <c r="Q34" s="15" t="str">
        <f t="shared" ca="1" si="2"/>
        <v>www.looney.com</v>
      </c>
    </row>
    <row r="35" spans="1:17" ht="15.75" customHeight="1" x14ac:dyDescent="0.25">
      <c r="A35" s="19"/>
      <c r="B35" s="19"/>
      <c r="C35" s="19"/>
      <c r="D35" s="19"/>
      <c r="E35" s="19"/>
      <c r="F35" s="19"/>
      <c r="G35" s="19"/>
      <c r="H35" s="18"/>
      <c r="I35" s="18" t="str">
        <f t="shared" ca="1" si="3"/>
        <v/>
      </c>
      <c r="J35" s="19" t="str">
        <f t="shared" ca="1" si="0"/>
        <v/>
      </c>
      <c r="K35" s="19" t="str">
        <f t="shared" ref="K35:P35" ca="1" si="34">IFERROR(__xludf.DUMMYFUNCTION("iferror(lower(regexreplace(substitute(trim(if(B35="""",""empty"",B35)),"" "",""_""),""[^A-Za-z0-9_]"","""")))"),"empty")</f>
        <v>empty</v>
      </c>
      <c r="L35" s="19" t="str">
        <f t="shared" ca="1" si="34"/>
        <v>empty</v>
      </c>
      <c r="M35" s="19" t="str">
        <f t="shared" ca="1" si="34"/>
        <v>empty</v>
      </c>
      <c r="N35" s="19" t="str">
        <f t="shared" ca="1" si="34"/>
        <v>empty</v>
      </c>
      <c r="O35" s="19" t="str">
        <f t="shared" ca="1" si="34"/>
        <v>empty</v>
      </c>
      <c r="P35" s="19" t="str">
        <f t="shared" ca="1" si="34"/>
        <v>empty</v>
      </c>
      <c r="Q35" s="15" t="str">
        <f t="shared" ca="1" si="2"/>
        <v>www.looney.com</v>
      </c>
    </row>
    <row r="36" spans="1:17" ht="15.75" customHeight="1" x14ac:dyDescent="0.25">
      <c r="A36" s="19"/>
      <c r="B36" s="19"/>
      <c r="C36" s="19"/>
      <c r="D36" s="19"/>
      <c r="E36" s="19"/>
      <c r="F36" s="19"/>
      <c r="G36" s="19"/>
      <c r="H36" s="18"/>
      <c r="I36" s="18" t="str">
        <f t="shared" ca="1" si="3"/>
        <v/>
      </c>
      <c r="J36" s="19" t="str">
        <f t="shared" ca="1" si="0"/>
        <v/>
      </c>
      <c r="K36" s="19" t="str">
        <f t="shared" ref="K36:P36" ca="1" si="35">IFERROR(__xludf.DUMMYFUNCTION("iferror(lower(regexreplace(substitute(trim(if(B36="""",""empty"",B36)),"" "",""_""),""[^A-Za-z0-9_]"","""")))"),"empty")</f>
        <v>empty</v>
      </c>
      <c r="L36" s="19" t="str">
        <f t="shared" ca="1" si="35"/>
        <v>empty</v>
      </c>
      <c r="M36" s="19" t="str">
        <f t="shared" ca="1" si="35"/>
        <v>empty</v>
      </c>
      <c r="N36" s="19" t="str">
        <f t="shared" ca="1" si="35"/>
        <v>empty</v>
      </c>
      <c r="O36" s="19" t="str">
        <f t="shared" ca="1" si="35"/>
        <v>empty</v>
      </c>
      <c r="P36" s="19" t="str">
        <f t="shared" ca="1" si="35"/>
        <v>empty</v>
      </c>
      <c r="Q36" s="15" t="str">
        <f t="shared" ca="1" si="2"/>
        <v>www.looney.com</v>
      </c>
    </row>
    <row r="37" spans="1:17" ht="15.75" customHeight="1" x14ac:dyDescent="0.25">
      <c r="A37" s="19"/>
      <c r="B37" s="19"/>
      <c r="C37" s="19"/>
      <c r="D37" s="19"/>
      <c r="E37" s="19"/>
      <c r="F37" s="19"/>
      <c r="G37" s="19"/>
      <c r="H37" s="18"/>
      <c r="I37" s="18" t="str">
        <f t="shared" ca="1" si="3"/>
        <v/>
      </c>
      <c r="J37" s="19" t="str">
        <f t="shared" ca="1" si="0"/>
        <v/>
      </c>
      <c r="K37" s="19" t="str">
        <f t="shared" ref="K37:P37" ca="1" si="36">IFERROR(__xludf.DUMMYFUNCTION("iferror(lower(regexreplace(substitute(trim(if(B37="""",""empty"",B37)),"" "",""_""),""[^A-Za-z0-9_]"","""")))"),"empty")</f>
        <v>empty</v>
      </c>
      <c r="L37" s="19" t="str">
        <f t="shared" ca="1" si="36"/>
        <v>empty</v>
      </c>
      <c r="M37" s="19" t="str">
        <f t="shared" ca="1" si="36"/>
        <v>empty</v>
      </c>
      <c r="N37" s="19" t="str">
        <f t="shared" ca="1" si="36"/>
        <v>empty</v>
      </c>
      <c r="O37" s="19" t="str">
        <f t="shared" ca="1" si="36"/>
        <v>empty</v>
      </c>
      <c r="P37" s="19" t="str">
        <f t="shared" ca="1" si="36"/>
        <v>empty</v>
      </c>
      <c r="Q37" s="15" t="str">
        <f t="shared" ca="1" si="2"/>
        <v>www.looney.com</v>
      </c>
    </row>
    <row r="38" spans="1:17" ht="15.75" customHeight="1" x14ac:dyDescent="0.25">
      <c r="A38" s="19"/>
      <c r="B38" s="19"/>
      <c r="C38" s="19"/>
      <c r="D38" s="19"/>
      <c r="E38" s="19"/>
      <c r="F38" s="19"/>
      <c r="G38" s="19"/>
      <c r="H38" s="18"/>
      <c r="I38" s="18" t="str">
        <f t="shared" ca="1" si="3"/>
        <v/>
      </c>
      <c r="J38" s="19" t="str">
        <f t="shared" ca="1" si="0"/>
        <v/>
      </c>
      <c r="K38" s="19" t="str">
        <f t="shared" ref="K38:P38" ca="1" si="37">IFERROR(__xludf.DUMMYFUNCTION("iferror(lower(regexreplace(substitute(trim(if(B38="""",""empty"",B38)),"" "",""_""),""[^A-Za-z0-9_]"","""")))"),"empty")</f>
        <v>empty</v>
      </c>
      <c r="L38" s="19" t="str">
        <f t="shared" ca="1" si="37"/>
        <v>empty</v>
      </c>
      <c r="M38" s="19" t="str">
        <f t="shared" ca="1" si="37"/>
        <v>empty</v>
      </c>
      <c r="N38" s="19" t="str">
        <f t="shared" ca="1" si="37"/>
        <v>empty</v>
      </c>
      <c r="O38" s="19" t="str">
        <f t="shared" ca="1" si="37"/>
        <v>empty</v>
      </c>
      <c r="P38" s="19" t="str">
        <f t="shared" ca="1" si="37"/>
        <v>empty</v>
      </c>
      <c r="Q38" s="15" t="str">
        <f t="shared" ca="1" si="2"/>
        <v>www.looney.com</v>
      </c>
    </row>
    <row r="39" spans="1:17" ht="15.75" customHeight="1" x14ac:dyDescent="0.25">
      <c r="A39" s="19"/>
      <c r="B39" s="19"/>
      <c r="C39" s="19"/>
      <c r="D39" s="19"/>
      <c r="E39" s="19"/>
      <c r="F39" s="19"/>
      <c r="G39" s="19"/>
      <c r="H39" s="18"/>
      <c r="I39" s="18" t="str">
        <f t="shared" ca="1" si="3"/>
        <v/>
      </c>
      <c r="J39" s="19" t="str">
        <f t="shared" ca="1" si="0"/>
        <v/>
      </c>
      <c r="K39" s="19" t="str">
        <f t="shared" ref="K39:P39" ca="1" si="38">IFERROR(__xludf.DUMMYFUNCTION("iferror(lower(regexreplace(substitute(trim(if(B39="""",""empty"",B39)),"" "",""_""),""[^A-Za-z0-9_]"","""")))"),"empty")</f>
        <v>empty</v>
      </c>
      <c r="L39" s="19" t="str">
        <f t="shared" ca="1" si="38"/>
        <v>empty</v>
      </c>
      <c r="M39" s="19" t="str">
        <f t="shared" ca="1" si="38"/>
        <v>empty</v>
      </c>
      <c r="N39" s="19" t="str">
        <f t="shared" ca="1" si="38"/>
        <v>empty</v>
      </c>
      <c r="O39" s="19" t="str">
        <f t="shared" ca="1" si="38"/>
        <v>empty</v>
      </c>
      <c r="P39" s="19" t="str">
        <f t="shared" ca="1" si="38"/>
        <v>empty</v>
      </c>
      <c r="Q39" s="15" t="str">
        <f t="shared" ca="1" si="2"/>
        <v>www.looney.com</v>
      </c>
    </row>
    <row r="40" spans="1:17" ht="15.75" customHeight="1" x14ac:dyDescent="0.25">
      <c r="A40" s="19"/>
      <c r="B40" s="19"/>
      <c r="C40" s="19"/>
      <c r="D40" s="19"/>
      <c r="E40" s="19"/>
      <c r="F40" s="19"/>
      <c r="G40" s="19"/>
      <c r="H40" s="18"/>
      <c r="I40" s="18" t="str">
        <f t="shared" ca="1" si="3"/>
        <v/>
      </c>
      <c r="J40" s="19" t="str">
        <f t="shared" ca="1" si="0"/>
        <v/>
      </c>
      <c r="K40" s="19" t="str">
        <f t="shared" ref="K40:P40" ca="1" si="39">IFERROR(__xludf.DUMMYFUNCTION("iferror(lower(regexreplace(substitute(trim(if(B40="""",""empty"",B40)),"" "",""_""),""[^A-Za-z0-9_]"","""")))"),"empty")</f>
        <v>empty</v>
      </c>
      <c r="L40" s="19" t="str">
        <f t="shared" ca="1" si="39"/>
        <v>empty</v>
      </c>
      <c r="M40" s="19" t="str">
        <f t="shared" ca="1" si="39"/>
        <v>empty</v>
      </c>
      <c r="N40" s="19" t="str">
        <f t="shared" ca="1" si="39"/>
        <v>empty</v>
      </c>
      <c r="O40" s="19" t="str">
        <f t="shared" ca="1" si="39"/>
        <v>empty</v>
      </c>
      <c r="P40" s="19" t="str">
        <f t="shared" ca="1" si="39"/>
        <v>empty</v>
      </c>
      <c r="Q40" s="15" t="str">
        <f t="shared" ca="1" si="2"/>
        <v>www.looney.com</v>
      </c>
    </row>
    <row r="41" spans="1:17" ht="15.75" customHeight="1" x14ac:dyDescent="0.25">
      <c r="A41" s="19"/>
      <c r="B41" s="19"/>
      <c r="C41" s="19"/>
      <c r="D41" s="19"/>
      <c r="E41" s="19"/>
      <c r="F41" s="19"/>
      <c r="G41" s="19"/>
      <c r="H41" s="18"/>
      <c r="I41" s="18" t="str">
        <f t="shared" ca="1" si="3"/>
        <v/>
      </c>
      <c r="J41" s="19" t="str">
        <f t="shared" ca="1" si="0"/>
        <v/>
      </c>
      <c r="K41" s="19" t="str">
        <f t="shared" ref="K41:P41" ca="1" si="40">IFERROR(__xludf.DUMMYFUNCTION("iferror(lower(regexreplace(substitute(trim(if(B41="""",""empty"",B41)),"" "",""_""),""[^A-Za-z0-9_]"","""")))"),"empty")</f>
        <v>empty</v>
      </c>
      <c r="L41" s="19" t="str">
        <f t="shared" ca="1" si="40"/>
        <v>empty</v>
      </c>
      <c r="M41" s="19" t="str">
        <f t="shared" ca="1" si="40"/>
        <v>empty</v>
      </c>
      <c r="N41" s="19" t="str">
        <f t="shared" ca="1" si="40"/>
        <v>empty</v>
      </c>
      <c r="O41" s="19" t="str">
        <f t="shared" ca="1" si="40"/>
        <v>empty</v>
      </c>
      <c r="P41" s="19" t="str">
        <f t="shared" ca="1" si="40"/>
        <v>empty</v>
      </c>
      <c r="Q41" s="15" t="str">
        <f t="shared" ca="1" si="2"/>
        <v>www.looney.com</v>
      </c>
    </row>
    <row r="42" spans="1:17" ht="15.75" customHeight="1" x14ac:dyDescent="0.25">
      <c r="A42" s="19"/>
      <c r="B42" s="19"/>
      <c r="C42" s="19"/>
      <c r="D42" s="19"/>
      <c r="E42" s="19"/>
      <c r="F42" s="19"/>
      <c r="G42" s="19"/>
      <c r="H42" s="18"/>
      <c r="I42" s="18" t="str">
        <f t="shared" ca="1" si="3"/>
        <v/>
      </c>
      <c r="J42" s="19" t="str">
        <f t="shared" ca="1" si="0"/>
        <v/>
      </c>
      <c r="K42" s="19" t="str">
        <f t="shared" ref="K42:P42" ca="1" si="41">IFERROR(__xludf.DUMMYFUNCTION("iferror(lower(regexreplace(substitute(trim(if(B42="""",""empty"",B42)),"" "",""_""),""[^A-Za-z0-9_]"","""")))"),"empty")</f>
        <v>empty</v>
      </c>
      <c r="L42" s="19" t="str">
        <f t="shared" ca="1" si="41"/>
        <v>empty</v>
      </c>
      <c r="M42" s="19" t="str">
        <f t="shared" ca="1" si="41"/>
        <v>empty</v>
      </c>
      <c r="N42" s="19" t="str">
        <f t="shared" ca="1" si="41"/>
        <v>empty</v>
      </c>
      <c r="O42" s="19" t="str">
        <f t="shared" ca="1" si="41"/>
        <v>empty</v>
      </c>
      <c r="P42" s="19" t="str">
        <f t="shared" ca="1" si="41"/>
        <v>empty</v>
      </c>
      <c r="Q42" s="15" t="str">
        <f t="shared" ca="1" si="2"/>
        <v>www.looney.com</v>
      </c>
    </row>
    <row r="43" spans="1:17" ht="15.75" customHeight="1" x14ac:dyDescent="0.25">
      <c r="A43" s="19"/>
      <c r="B43" s="19"/>
      <c r="C43" s="19"/>
      <c r="D43" s="19"/>
      <c r="E43" s="19"/>
      <c r="F43" s="19"/>
      <c r="G43" s="19"/>
      <c r="H43" s="18"/>
      <c r="I43" s="18" t="str">
        <f t="shared" ca="1" si="3"/>
        <v/>
      </c>
      <c r="J43" s="19" t="str">
        <f t="shared" ca="1" si="0"/>
        <v/>
      </c>
      <c r="K43" s="19" t="str">
        <f t="shared" ref="K43:P43" ca="1" si="42">IFERROR(__xludf.DUMMYFUNCTION("iferror(lower(regexreplace(substitute(trim(if(B43="""",""empty"",B43)),"" "",""_""),""[^A-Za-z0-9_]"","""")))"),"empty")</f>
        <v>empty</v>
      </c>
      <c r="L43" s="19" t="str">
        <f t="shared" ca="1" si="42"/>
        <v>empty</v>
      </c>
      <c r="M43" s="19" t="str">
        <f t="shared" ca="1" si="42"/>
        <v>empty</v>
      </c>
      <c r="N43" s="19" t="str">
        <f t="shared" ca="1" si="42"/>
        <v>empty</v>
      </c>
      <c r="O43" s="19" t="str">
        <f t="shared" ca="1" si="42"/>
        <v>empty</v>
      </c>
      <c r="P43" s="19" t="str">
        <f t="shared" ca="1" si="42"/>
        <v>empty</v>
      </c>
      <c r="Q43" s="15" t="str">
        <f t="shared" ca="1" si="2"/>
        <v>www.looney.com</v>
      </c>
    </row>
    <row r="44" spans="1:17" ht="15.75" customHeight="1" x14ac:dyDescent="0.25">
      <c r="A44" s="19"/>
      <c r="B44" s="19"/>
      <c r="C44" s="19"/>
      <c r="D44" s="19"/>
      <c r="E44" s="19"/>
      <c r="F44" s="19"/>
      <c r="G44" s="19"/>
      <c r="H44" s="18"/>
      <c r="I44" s="18" t="str">
        <f t="shared" ca="1" si="3"/>
        <v/>
      </c>
      <c r="J44" s="19" t="str">
        <f t="shared" ca="1" si="0"/>
        <v/>
      </c>
      <c r="K44" s="19" t="str">
        <f t="shared" ref="K44:P44" ca="1" si="43">IFERROR(__xludf.DUMMYFUNCTION("iferror(lower(regexreplace(substitute(trim(if(B44="""",""empty"",B44)),"" "",""_""),""[^A-Za-z0-9_]"","""")))"),"empty")</f>
        <v>empty</v>
      </c>
      <c r="L44" s="19" t="str">
        <f t="shared" ca="1" si="43"/>
        <v>empty</v>
      </c>
      <c r="M44" s="19" t="str">
        <f t="shared" ca="1" si="43"/>
        <v>empty</v>
      </c>
      <c r="N44" s="19" t="str">
        <f t="shared" ca="1" si="43"/>
        <v>empty</v>
      </c>
      <c r="O44" s="19" t="str">
        <f t="shared" ca="1" si="43"/>
        <v>empty</v>
      </c>
      <c r="P44" s="19" t="str">
        <f t="shared" ca="1" si="43"/>
        <v>empty</v>
      </c>
      <c r="Q44" s="15" t="str">
        <f t="shared" ca="1" si="2"/>
        <v>www.looney.com</v>
      </c>
    </row>
    <row r="45" spans="1:17" ht="15.75" customHeight="1" x14ac:dyDescent="0.25">
      <c r="A45" s="19"/>
      <c r="B45" s="19"/>
      <c r="C45" s="19"/>
      <c r="D45" s="19"/>
      <c r="E45" s="19"/>
      <c r="F45" s="19"/>
      <c r="G45" s="19"/>
      <c r="H45" s="18"/>
      <c r="I45" s="18" t="str">
        <f t="shared" ca="1" si="3"/>
        <v/>
      </c>
      <c r="J45" s="19" t="str">
        <f t="shared" ca="1" si="0"/>
        <v/>
      </c>
      <c r="K45" s="19" t="str">
        <f t="shared" ref="K45:P45" ca="1" si="44">IFERROR(__xludf.DUMMYFUNCTION("iferror(lower(regexreplace(substitute(trim(if(B45="""",""empty"",B45)),"" "",""_""),""[^A-Za-z0-9_]"","""")))"),"empty")</f>
        <v>empty</v>
      </c>
      <c r="L45" s="19" t="str">
        <f t="shared" ca="1" si="44"/>
        <v>empty</v>
      </c>
      <c r="M45" s="19" t="str">
        <f t="shared" ca="1" si="44"/>
        <v>empty</v>
      </c>
      <c r="N45" s="19" t="str">
        <f t="shared" ca="1" si="44"/>
        <v>empty</v>
      </c>
      <c r="O45" s="19" t="str">
        <f t="shared" ca="1" si="44"/>
        <v>empty</v>
      </c>
      <c r="P45" s="19" t="str">
        <f t="shared" ca="1" si="44"/>
        <v>empty</v>
      </c>
      <c r="Q45" s="15" t="str">
        <f t="shared" ca="1" si="2"/>
        <v>www.looney.com</v>
      </c>
    </row>
    <row r="46" spans="1:17" ht="15.75" customHeight="1" x14ac:dyDescent="0.25">
      <c r="A46" s="19"/>
      <c r="B46" s="19"/>
      <c r="C46" s="19"/>
      <c r="D46" s="19"/>
      <c r="E46" s="19"/>
      <c r="F46" s="19"/>
      <c r="G46" s="19"/>
      <c r="H46" s="18"/>
      <c r="I46" s="18" t="str">
        <f t="shared" ca="1" si="3"/>
        <v/>
      </c>
      <c r="J46" s="19" t="str">
        <f t="shared" ca="1" si="0"/>
        <v/>
      </c>
      <c r="K46" s="19" t="str">
        <f t="shared" ref="K46:P46" ca="1" si="45">IFERROR(__xludf.DUMMYFUNCTION("iferror(lower(regexreplace(substitute(trim(if(B46="""",""empty"",B46)),"" "",""_""),""[^A-Za-z0-9_]"","""")))"),"empty")</f>
        <v>empty</v>
      </c>
      <c r="L46" s="19" t="str">
        <f t="shared" ca="1" si="45"/>
        <v>empty</v>
      </c>
      <c r="M46" s="19" t="str">
        <f t="shared" ca="1" si="45"/>
        <v>empty</v>
      </c>
      <c r="N46" s="19" t="str">
        <f t="shared" ca="1" si="45"/>
        <v>empty</v>
      </c>
      <c r="O46" s="19" t="str">
        <f t="shared" ca="1" si="45"/>
        <v>empty</v>
      </c>
      <c r="P46" s="19" t="str">
        <f t="shared" ca="1" si="45"/>
        <v>empty</v>
      </c>
      <c r="Q46" s="15" t="str">
        <f t="shared" ca="1" si="2"/>
        <v>www.looney.com</v>
      </c>
    </row>
    <row r="47" spans="1:17" ht="15.75" customHeight="1" x14ac:dyDescent="0.25">
      <c r="A47" s="19"/>
      <c r="B47" s="19"/>
      <c r="C47" s="19"/>
      <c r="D47" s="19"/>
      <c r="E47" s="19"/>
      <c r="F47" s="19"/>
      <c r="G47" s="19"/>
      <c r="H47" s="18"/>
      <c r="I47" s="18" t="str">
        <f t="shared" ca="1" si="3"/>
        <v/>
      </c>
      <c r="J47" s="19" t="str">
        <f t="shared" ca="1" si="0"/>
        <v/>
      </c>
      <c r="K47" s="19" t="str">
        <f t="shared" ref="K47:P47" ca="1" si="46">IFERROR(__xludf.DUMMYFUNCTION("iferror(lower(regexreplace(substitute(trim(if(B47="""",""empty"",B47)),"" "",""_""),""[^A-Za-z0-9_]"","""")))"),"empty")</f>
        <v>empty</v>
      </c>
      <c r="L47" s="19" t="str">
        <f t="shared" ca="1" si="46"/>
        <v>empty</v>
      </c>
      <c r="M47" s="19" t="str">
        <f t="shared" ca="1" si="46"/>
        <v>empty</v>
      </c>
      <c r="N47" s="19" t="str">
        <f t="shared" ca="1" si="46"/>
        <v>empty</v>
      </c>
      <c r="O47" s="19" t="str">
        <f t="shared" ca="1" si="46"/>
        <v>empty</v>
      </c>
      <c r="P47" s="19" t="str">
        <f t="shared" ca="1" si="46"/>
        <v>empty</v>
      </c>
      <c r="Q47" s="15" t="str">
        <f t="shared" ca="1" si="2"/>
        <v>www.looney.com</v>
      </c>
    </row>
    <row r="48" spans="1:17" ht="15.75" customHeight="1" x14ac:dyDescent="0.25">
      <c r="A48" s="19"/>
      <c r="B48" s="19"/>
      <c r="C48" s="19"/>
      <c r="D48" s="19"/>
      <c r="E48" s="19"/>
      <c r="F48" s="19"/>
      <c r="G48" s="19"/>
      <c r="H48" s="18"/>
      <c r="I48" s="18" t="str">
        <f t="shared" ca="1" si="3"/>
        <v/>
      </c>
      <c r="J48" s="19" t="str">
        <f t="shared" ca="1" si="0"/>
        <v/>
      </c>
      <c r="K48" s="19" t="str">
        <f t="shared" ref="K48:P48" ca="1" si="47">IFERROR(__xludf.DUMMYFUNCTION("iferror(lower(regexreplace(substitute(trim(if(B48="""",""empty"",B48)),"" "",""_""),""[^A-Za-z0-9_]"","""")))"),"empty")</f>
        <v>empty</v>
      </c>
      <c r="L48" s="19" t="str">
        <f t="shared" ca="1" si="47"/>
        <v>empty</v>
      </c>
      <c r="M48" s="19" t="str">
        <f t="shared" ca="1" si="47"/>
        <v>empty</v>
      </c>
      <c r="N48" s="19" t="str">
        <f t="shared" ca="1" si="47"/>
        <v>empty</v>
      </c>
      <c r="O48" s="19" t="str">
        <f t="shared" ca="1" si="47"/>
        <v>empty</v>
      </c>
      <c r="P48" s="19" t="str">
        <f t="shared" ca="1" si="47"/>
        <v>empty</v>
      </c>
      <c r="Q48" s="15" t="str">
        <f t="shared" ca="1" si="2"/>
        <v>www.looney.com</v>
      </c>
    </row>
    <row r="49" spans="1:17" ht="15.75" customHeight="1" x14ac:dyDescent="0.25">
      <c r="A49" s="19"/>
      <c r="B49" s="19"/>
      <c r="C49" s="19"/>
      <c r="D49" s="19"/>
      <c r="E49" s="19"/>
      <c r="F49" s="19"/>
      <c r="G49" s="19"/>
      <c r="H49" s="18"/>
      <c r="I49" s="18" t="str">
        <f t="shared" ca="1" si="3"/>
        <v/>
      </c>
      <c r="J49" s="19" t="str">
        <f t="shared" ca="1" si="0"/>
        <v/>
      </c>
      <c r="K49" s="19" t="str">
        <f t="shared" ref="K49:P49" ca="1" si="48">IFERROR(__xludf.DUMMYFUNCTION("iferror(lower(regexreplace(substitute(trim(if(B49="""",""empty"",B49)),"" "",""_""),""[^A-Za-z0-9_]"","""")))"),"empty")</f>
        <v>empty</v>
      </c>
      <c r="L49" s="19" t="str">
        <f t="shared" ca="1" si="48"/>
        <v>empty</v>
      </c>
      <c r="M49" s="19" t="str">
        <f t="shared" ca="1" si="48"/>
        <v>empty</v>
      </c>
      <c r="N49" s="19" t="str">
        <f t="shared" ca="1" si="48"/>
        <v>empty</v>
      </c>
      <c r="O49" s="19" t="str">
        <f t="shared" ca="1" si="48"/>
        <v>empty</v>
      </c>
      <c r="P49" s="19" t="str">
        <f t="shared" ca="1" si="48"/>
        <v>empty</v>
      </c>
      <c r="Q49" s="15" t="str">
        <f t="shared" ca="1" si="2"/>
        <v>www.looney.com</v>
      </c>
    </row>
    <row r="50" spans="1:17" ht="15.75" customHeight="1" x14ac:dyDescent="0.25">
      <c r="A50" s="19"/>
      <c r="B50" s="19"/>
      <c r="C50" s="19"/>
      <c r="D50" s="19"/>
      <c r="E50" s="19"/>
      <c r="F50" s="19"/>
      <c r="G50" s="19"/>
      <c r="H50" s="18"/>
      <c r="I50" s="18" t="str">
        <f t="shared" ca="1" si="3"/>
        <v/>
      </c>
      <c r="J50" s="19" t="str">
        <f t="shared" ca="1" si="0"/>
        <v/>
      </c>
      <c r="K50" s="19" t="str">
        <f t="shared" ref="K50:P50" ca="1" si="49">IFERROR(__xludf.DUMMYFUNCTION("iferror(lower(regexreplace(substitute(trim(if(B50="""",""empty"",B50)),"" "",""_""),""[^A-Za-z0-9_]"","""")))"),"empty")</f>
        <v>empty</v>
      </c>
      <c r="L50" s="19" t="str">
        <f t="shared" ca="1" si="49"/>
        <v>empty</v>
      </c>
      <c r="M50" s="19" t="str">
        <f t="shared" ca="1" si="49"/>
        <v>empty</v>
      </c>
      <c r="N50" s="19" t="str">
        <f t="shared" ca="1" si="49"/>
        <v>empty</v>
      </c>
      <c r="O50" s="19" t="str">
        <f t="shared" ca="1" si="49"/>
        <v>empty</v>
      </c>
      <c r="P50" s="19" t="str">
        <f t="shared" ca="1" si="49"/>
        <v>empty</v>
      </c>
      <c r="Q50" s="15" t="str">
        <f t="shared" ca="1" si="2"/>
        <v>www.looney.com</v>
      </c>
    </row>
    <row r="51" spans="1:17" ht="15.75" customHeight="1" x14ac:dyDescent="0.25">
      <c r="A51" s="19"/>
      <c r="B51" s="19"/>
      <c r="C51" s="19"/>
      <c r="D51" s="19"/>
      <c r="E51" s="19"/>
      <c r="F51" s="19"/>
      <c r="G51" s="19"/>
      <c r="H51" s="18"/>
      <c r="I51" s="18" t="str">
        <f t="shared" ca="1" si="3"/>
        <v/>
      </c>
      <c r="J51" s="19" t="str">
        <f t="shared" ca="1" si="0"/>
        <v/>
      </c>
      <c r="K51" s="19" t="str">
        <f t="shared" ref="K51:P51" ca="1" si="50">IFERROR(__xludf.DUMMYFUNCTION("iferror(lower(regexreplace(substitute(trim(if(B51="""",""empty"",B51)),"" "",""_""),""[^A-Za-z0-9_]"","""")))"),"empty")</f>
        <v>empty</v>
      </c>
      <c r="L51" s="19" t="str">
        <f t="shared" ca="1" si="50"/>
        <v>empty</v>
      </c>
      <c r="M51" s="19" t="str">
        <f t="shared" ca="1" si="50"/>
        <v>empty</v>
      </c>
      <c r="N51" s="19" t="str">
        <f t="shared" ca="1" si="50"/>
        <v>empty</v>
      </c>
      <c r="O51" s="19" t="str">
        <f t="shared" ca="1" si="50"/>
        <v>empty</v>
      </c>
      <c r="P51" s="19" t="str">
        <f t="shared" ca="1" si="50"/>
        <v>empty</v>
      </c>
      <c r="Q51" s="15" t="str">
        <f t="shared" ca="1" si="2"/>
        <v>www.looney.com</v>
      </c>
    </row>
    <row r="52" spans="1:17" ht="15.75" customHeight="1" x14ac:dyDescent="0.25">
      <c r="A52" s="19"/>
      <c r="B52" s="19"/>
      <c r="C52" s="19"/>
      <c r="D52" s="19"/>
      <c r="E52" s="19"/>
      <c r="F52" s="19"/>
      <c r="G52" s="19"/>
      <c r="H52" s="18"/>
      <c r="I52" s="18" t="str">
        <f t="shared" ca="1" si="3"/>
        <v/>
      </c>
      <c r="J52" s="19" t="str">
        <f t="shared" ca="1" si="0"/>
        <v/>
      </c>
      <c r="K52" s="19" t="str">
        <f t="shared" ref="K52:P52" ca="1" si="51">IFERROR(__xludf.DUMMYFUNCTION("iferror(lower(regexreplace(substitute(trim(if(B52="""",""empty"",B52)),"" "",""_""),""[^A-Za-z0-9_]"","""")))"),"empty")</f>
        <v>empty</v>
      </c>
      <c r="L52" s="19" t="str">
        <f t="shared" ca="1" si="51"/>
        <v>empty</v>
      </c>
      <c r="M52" s="19" t="str">
        <f t="shared" ca="1" si="51"/>
        <v>empty</v>
      </c>
      <c r="N52" s="19" t="str">
        <f t="shared" ca="1" si="51"/>
        <v>empty</v>
      </c>
      <c r="O52" s="19" t="str">
        <f t="shared" ca="1" si="51"/>
        <v>empty</v>
      </c>
      <c r="P52" s="19" t="str">
        <f t="shared" ca="1" si="51"/>
        <v>empty</v>
      </c>
      <c r="Q52" s="15" t="str">
        <f t="shared" ca="1" si="2"/>
        <v>www.looney.com</v>
      </c>
    </row>
    <row r="53" spans="1:17" ht="15.75" customHeight="1" x14ac:dyDescent="0.25">
      <c r="A53" s="19"/>
      <c r="B53" s="19"/>
      <c r="C53" s="19"/>
      <c r="D53" s="19"/>
      <c r="E53" s="19"/>
      <c r="F53" s="19"/>
      <c r="G53" s="19"/>
      <c r="H53" s="18"/>
      <c r="I53" s="18" t="str">
        <f t="shared" ca="1" si="3"/>
        <v/>
      </c>
      <c r="J53" s="19" t="str">
        <f t="shared" ca="1" si="0"/>
        <v/>
      </c>
      <c r="K53" s="19" t="str">
        <f t="shared" ref="K53:P53" ca="1" si="52">IFERROR(__xludf.DUMMYFUNCTION("iferror(lower(regexreplace(substitute(trim(if(B53="""",""empty"",B53)),"" "",""_""),""[^A-Za-z0-9_]"","""")))"),"empty")</f>
        <v>empty</v>
      </c>
      <c r="L53" s="19" t="str">
        <f t="shared" ca="1" si="52"/>
        <v>empty</v>
      </c>
      <c r="M53" s="19" t="str">
        <f t="shared" ca="1" si="52"/>
        <v>empty</v>
      </c>
      <c r="N53" s="19" t="str">
        <f t="shared" ca="1" si="52"/>
        <v>empty</v>
      </c>
      <c r="O53" s="19" t="str">
        <f t="shared" ca="1" si="52"/>
        <v>empty</v>
      </c>
      <c r="P53" s="19" t="str">
        <f t="shared" ca="1" si="52"/>
        <v>empty</v>
      </c>
      <c r="Q53" s="15" t="str">
        <f t="shared" ca="1" si="2"/>
        <v>www.looney.com</v>
      </c>
    </row>
    <row r="54" spans="1:17" ht="15.75" customHeight="1" x14ac:dyDescent="0.25">
      <c r="A54" s="19"/>
      <c r="B54" s="19"/>
      <c r="C54" s="19"/>
      <c r="D54" s="19"/>
      <c r="E54" s="19"/>
      <c r="F54" s="19"/>
      <c r="G54" s="19"/>
      <c r="H54" s="18"/>
      <c r="I54" s="18" t="str">
        <f t="shared" ca="1" si="3"/>
        <v/>
      </c>
      <c r="J54" s="19" t="str">
        <f t="shared" ca="1" si="0"/>
        <v/>
      </c>
      <c r="K54" s="19" t="str">
        <f t="shared" ref="K54:P54" ca="1" si="53">IFERROR(__xludf.DUMMYFUNCTION("iferror(lower(regexreplace(substitute(trim(if(B54="""",""empty"",B54)),"" "",""_""),""[^A-Za-z0-9_]"","""")))"),"empty")</f>
        <v>empty</v>
      </c>
      <c r="L54" s="19" t="str">
        <f t="shared" ca="1" si="53"/>
        <v>empty</v>
      </c>
      <c r="M54" s="19" t="str">
        <f t="shared" ca="1" si="53"/>
        <v>empty</v>
      </c>
      <c r="N54" s="19" t="str">
        <f t="shared" ca="1" si="53"/>
        <v>empty</v>
      </c>
      <c r="O54" s="19" t="str">
        <f t="shared" ca="1" si="53"/>
        <v>empty</v>
      </c>
      <c r="P54" s="19" t="str">
        <f t="shared" ca="1" si="53"/>
        <v>empty</v>
      </c>
      <c r="Q54" s="15" t="str">
        <f t="shared" ca="1" si="2"/>
        <v>www.looney.com</v>
      </c>
    </row>
    <row r="55" spans="1:17" ht="15.75" customHeight="1" x14ac:dyDescent="0.25">
      <c r="A55" s="19"/>
      <c r="B55" s="19"/>
      <c r="C55" s="19"/>
      <c r="D55" s="19"/>
      <c r="E55" s="19"/>
      <c r="F55" s="19"/>
      <c r="G55" s="19"/>
      <c r="H55" s="18"/>
      <c r="I55" s="18" t="str">
        <f t="shared" ca="1" si="3"/>
        <v/>
      </c>
      <c r="J55" s="19" t="str">
        <f t="shared" ca="1" si="0"/>
        <v/>
      </c>
      <c r="K55" s="19" t="str">
        <f t="shared" ref="K55:P55" ca="1" si="54">IFERROR(__xludf.DUMMYFUNCTION("iferror(lower(regexreplace(substitute(trim(if(B55="""",""empty"",B55)),"" "",""_""),""[^A-Za-z0-9_]"","""")))"),"empty")</f>
        <v>empty</v>
      </c>
      <c r="L55" s="19" t="str">
        <f t="shared" ca="1" si="54"/>
        <v>empty</v>
      </c>
      <c r="M55" s="19" t="str">
        <f t="shared" ca="1" si="54"/>
        <v>empty</v>
      </c>
      <c r="N55" s="19" t="str">
        <f t="shared" ca="1" si="54"/>
        <v>empty</v>
      </c>
      <c r="O55" s="19" t="str">
        <f t="shared" ca="1" si="54"/>
        <v>empty</v>
      </c>
      <c r="P55" s="19" t="str">
        <f t="shared" ca="1" si="54"/>
        <v>empty</v>
      </c>
      <c r="Q55" s="15" t="str">
        <f t="shared" ca="1" si="2"/>
        <v>www.looney.com</v>
      </c>
    </row>
    <row r="56" spans="1:17" ht="15.75" customHeight="1" x14ac:dyDescent="0.25">
      <c r="A56" s="19"/>
      <c r="B56" s="19"/>
      <c r="C56" s="19"/>
      <c r="D56" s="19"/>
      <c r="E56" s="19"/>
      <c r="F56" s="19"/>
      <c r="G56" s="19"/>
      <c r="H56" s="18"/>
      <c r="I56" s="18" t="str">
        <f t="shared" ca="1" si="3"/>
        <v/>
      </c>
      <c r="J56" s="19" t="str">
        <f t="shared" ca="1" si="0"/>
        <v/>
      </c>
      <c r="K56" s="19" t="str">
        <f t="shared" ref="K56:P56" ca="1" si="55">IFERROR(__xludf.DUMMYFUNCTION("iferror(lower(regexreplace(substitute(trim(if(B56="""",""empty"",B56)),"" "",""_""),""[^A-Za-z0-9_]"","""")))"),"empty")</f>
        <v>empty</v>
      </c>
      <c r="L56" s="19" t="str">
        <f t="shared" ca="1" si="55"/>
        <v>empty</v>
      </c>
      <c r="M56" s="19" t="str">
        <f t="shared" ca="1" si="55"/>
        <v>empty</v>
      </c>
      <c r="N56" s="19" t="str">
        <f t="shared" ca="1" si="55"/>
        <v>empty</v>
      </c>
      <c r="O56" s="19" t="str">
        <f t="shared" ca="1" si="55"/>
        <v>empty</v>
      </c>
      <c r="P56" s="19" t="str">
        <f t="shared" ca="1" si="55"/>
        <v>empty</v>
      </c>
      <c r="Q56" s="15" t="str">
        <f t="shared" ca="1" si="2"/>
        <v>www.looney.com</v>
      </c>
    </row>
    <row r="57" spans="1:17" ht="15.75" customHeight="1" x14ac:dyDescent="0.25">
      <c r="A57" s="19"/>
      <c r="B57" s="19"/>
      <c r="C57" s="19"/>
      <c r="D57" s="19"/>
      <c r="E57" s="19"/>
      <c r="F57" s="19"/>
      <c r="G57" s="19"/>
      <c r="H57" s="18"/>
      <c r="I57" s="18" t="str">
        <f t="shared" ca="1" si="3"/>
        <v/>
      </c>
      <c r="J57" s="19" t="str">
        <f t="shared" ca="1" si="0"/>
        <v/>
      </c>
      <c r="K57" s="19" t="str">
        <f t="shared" ref="K57:P57" ca="1" si="56">IFERROR(__xludf.DUMMYFUNCTION("iferror(lower(regexreplace(substitute(trim(if(B57="""",""empty"",B57)),"" "",""_""),""[^A-Za-z0-9_]"","""")))"),"empty")</f>
        <v>empty</v>
      </c>
      <c r="L57" s="19" t="str">
        <f t="shared" ca="1" si="56"/>
        <v>empty</v>
      </c>
      <c r="M57" s="19" t="str">
        <f t="shared" ca="1" si="56"/>
        <v>empty</v>
      </c>
      <c r="N57" s="19" t="str">
        <f t="shared" ca="1" si="56"/>
        <v>empty</v>
      </c>
      <c r="O57" s="19" t="str">
        <f t="shared" ca="1" si="56"/>
        <v>empty</v>
      </c>
      <c r="P57" s="19" t="str">
        <f t="shared" ca="1" si="56"/>
        <v>empty</v>
      </c>
      <c r="Q57" s="15" t="str">
        <f t="shared" ca="1" si="2"/>
        <v>www.looney.com</v>
      </c>
    </row>
    <row r="58" spans="1:17" ht="15.75" customHeight="1" x14ac:dyDescent="0.25">
      <c r="A58" s="19"/>
      <c r="B58" s="19"/>
      <c r="C58" s="19"/>
      <c r="D58" s="19"/>
      <c r="E58" s="19"/>
      <c r="F58" s="19"/>
      <c r="G58" s="19"/>
      <c r="H58" s="18"/>
      <c r="I58" s="18" t="str">
        <f t="shared" ca="1" si="3"/>
        <v/>
      </c>
      <c r="J58" s="19" t="str">
        <f t="shared" ca="1" si="0"/>
        <v/>
      </c>
      <c r="K58" s="19" t="str">
        <f t="shared" ref="K58:P58" ca="1" si="57">IFERROR(__xludf.DUMMYFUNCTION("iferror(lower(regexreplace(substitute(trim(if(B58="""",""empty"",B58)),"" "",""_""),""[^A-Za-z0-9_]"","""")))"),"empty")</f>
        <v>empty</v>
      </c>
      <c r="L58" s="19" t="str">
        <f t="shared" ca="1" si="57"/>
        <v>empty</v>
      </c>
      <c r="M58" s="19" t="str">
        <f t="shared" ca="1" si="57"/>
        <v>empty</v>
      </c>
      <c r="N58" s="19" t="str">
        <f t="shared" ca="1" si="57"/>
        <v>empty</v>
      </c>
      <c r="O58" s="19" t="str">
        <f t="shared" ca="1" si="57"/>
        <v>empty</v>
      </c>
      <c r="P58" s="19" t="str">
        <f t="shared" ca="1" si="57"/>
        <v>empty</v>
      </c>
      <c r="Q58" s="15" t="str">
        <f t="shared" ca="1" si="2"/>
        <v>www.looney.com</v>
      </c>
    </row>
    <row r="59" spans="1:17" ht="15.75" customHeight="1" x14ac:dyDescent="0.25">
      <c r="A59" s="19"/>
      <c r="B59" s="19"/>
      <c r="C59" s="19"/>
      <c r="D59" s="19"/>
      <c r="E59" s="19"/>
      <c r="F59" s="19"/>
      <c r="G59" s="19"/>
      <c r="H59" s="18"/>
      <c r="I59" s="18" t="str">
        <f t="shared" ca="1" si="3"/>
        <v/>
      </c>
      <c r="J59" s="19" t="str">
        <f t="shared" ca="1" si="0"/>
        <v/>
      </c>
      <c r="K59" s="19" t="str">
        <f t="shared" ref="K59:P59" ca="1" si="58">IFERROR(__xludf.DUMMYFUNCTION("iferror(lower(regexreplace(substitute(trim(if(B59="""",""empty"",B59)),"" "",""_""),""[^A-Za-z0-9_]"","""")))"),"empty")</f>
        <v>empty</v>
      </c>
      <c r="L59" s="19" t="str">
        <f t="shared" ca="1" si="58"/>
        <v>empty</v>
      </c>
      <c r="M59" s="19" t="str">
        <f t="shared" ca="1" si="58"/>
        <v>empty</v>
      </c>
      <c r="N59" s="19" t="str">
        <f t="shared" ca="1" si="58"/>
        <v>empty</v>
      </c>
      <c r="O59" s="19" t="str">
        <f t="shared" ca="1" si="58"/>
        <v>empty</v>
      </c>
      <c r="P59" s="19" t="str">
        <f t="shared" ca="1" si="58"/>
        <v>empty</v>
      </c>
      <c r="Q59" s="15" t="str">
        <f t="shared" ca="1" si="2"/>
        <v>www.looney.com</v>
      </c>
    </row>
    <row r="60" spans="1:17" ht="15.75" customHeight="1" x14ac:dyDescent="0.25">
      <c r="A60" s="19"/>
      <c r="B60" s="19"/>
      <c r="C60" s="19"/>
      <c r="D60" s="19"/>
      <c r="E60" s="19"/>
      <c r="F60" s="19"/>
      <c r="G60" s="19"/>
      <c r="H60" s="18"/>
      <c r="I60" s="18" t="str">
        <f t="shared" ca="1" si="3"/>
        <v/>
      </c>
      <c r="J60" s="19" t="str">
        <f t="shared" ca="1" si="0"/>
        <v/>
      </c>
      <c r="K60" s="19" t="str">
        <f t="shared" ref="K60:P60" ca="1" si="59">IFERROR(__xludf.DUMMYFUNCTION("iferror(lower(regexreplace(substitute(trim(if(B60="""",""empty"",B60)),"" "",""_""),""[^A-Za-z0-9_]"","""")))"),"empty")</f>
        <v>empty</v>
      </c>
      <c r="L60" s="19" t="str">
        <f t="shared" ca="1" si="59"/>
        <v>empty</v>
      </c>
      <c r="M60" s="19" t="str">
        <f t="shared" ca="1" si="59"/>
        <v>empty</v>
      </c>
      <c r="N60" s="19" t="str">
        <f t="shared" ca="1" si="59"/>
        <v>empty</v>
      </c>
      <c r="O60" s="19" t="str">
        <f t="shared" ca="1" si="59"/>
        <v>empty</v>
      </c>
      <c r="P60" s="19" t="str">
        <f t="shared" ca="1" si="59"/>
        <v>empty</v>
      </c>
      <c r="Q60" s="15" t="str">
        <f t="shared" ca="1" si="2"/>
        <v>www.looney.com</v>
      </c>
    </row>
    <row r="61" spans="1:17" ht="15.75" customHeight="1" x14ac:dyDescent="0.25">
      <c r="A61" s="19"/>
      <c r="B61" s="19"/>
      <c r="C61" s="19"/>
      <c r="D61" s="19"/>
      <c r="E61" s="19"/>
      <c r="F61" s="19"/>
      <c r="G61" s="19"/>
      <c r="H61" s="18"/>
      <c r="I61" s="18" t="str">
        <f t="shared" ca="1" si="3"/>
        <v/>
      </c>
      <c r="J61" s="19" t="str">
        <f t="shared" ca="1" si="0"/>
        <v/>
      </c>
      <c r="K61" s="19" t="str">
        <f t="shared" ref="K61:P61" ca="1" si="60">IFERROR(__xludf.DUMMYFUNCTION("iferror(lower(regexreplace(substitute(trim(if(B61="""",""empty"",B61)),"" "",""_""),""[^A-Za-z0-9_]"","""")))"),"empty")</f>
        <v>empty</v>
      </c>
      <c r="L61" s="19" t="str">
        <f t="shared" ca="1" si="60"/>
        <v>empty</v>
      </c>
      <c r="M61" s="19" t="str">
        <f t="shared" ca="1" si="60"/>
        <v>empty</v>
      </c>
      <c r="N61" s="19" t="str">
        <f t="shared" ca="1" si="60"/>
        <v>empty</v>
      </c>
      <c r="O61" s="19" t="str">
        <f t="shared" ca="1" si="60"/>
        <v>empty</v>
      </c>
      <c r="P61" s="19" t="str">
        <f t="shared" ca="1" si="60"/>
        <v>empty</v>
      </c>
      <c r="Q61" s="15" t="str">
        <f t="shared" ca="1" si="2"/>
        <v>www.looney.com</v>
      </c>
    </row>
    <row r="62" spans="1:17" ht="15.75" customHeight="1" x14ac:dyDescent="0.25">
      <c r="A62" s="19"/>
      <c r="B62" s="19"/>
      <c r="C62" s="19"/>
      <c r="D62" s="19"/>
      <c r="E62" s="19"/>
      <c r="F62" s="19"/>
      <c r="G62" s="19"/>
      <c r="H62" s="18"/>
      <c r="I62" s="18" t="str">
        <f t="shared" ca="1" si="3"/>
        <v/>
      </c>
      <c r="J62" s="19" t="str">
        <f t="shared" ca="1" si="0"/>
        <v/>
      </c>
      <c r="K62" s="19" t="str">
        <f t="shared" ref="K62:P62" ca="1" si="61">IFERROR(__xludf.DUMMYFUNCTION("iferror(lower(regexreplace(substitute(trim(if(B62="""",""empty"",B62)),"" "",""_""),""[^A-Za-z0-9_]"","""")))"),"empty")</f>
        <v>empty</v>
      </c>
      <c r="L62" s="19" t="str">
        <f t="shared" ca="1" si="61"/>
        <v>empty</v>
      </c>
      <c r="M62" s="19" t="str">
        <f t="shared" ca="1" si="61"/>
        <v>empty</v>
      </c>
      <c r="N62" s="19" t="str">
        <f t="shared" ca="1" si="61"/>
        <v>empty</v>
      </c>
      <c r="O62" s="19" t="str">
        <f t="shared" ca="1" si="61"/>
        <v>empty</v>
      </c>
      <c r="P62" s="19" t="str">
        <f t="shared" ca="1" si="61"/>
        <v>empty</v>
      </c>
      <c r="Q62" s="15" t="str">
        <f t="shared" ca="1" si="2"/>
        <v>www.looney.com</v>
      </c>
    </row>
    <row r="63" spans="1:17" ht="15.75" customHeight="1" x14ac:dyDescent="0.25">
      <c r="A63" s="19"/>
      <c r="B63" s="19"/>
      <c r="C63" s="19"/>
      <c r="D63" s="19"/>
      <c r="E63" s="19"/>
      <c r="F63" s="19"/>
      <c r="G63" s="19"/>
      <c r="H63" s="18"/>
      <c r="I63" s="18" t="str">
        <f t="shared" ca="1" si="3"/>
        <v/>
      </c>
      <c r="J63" s="19" t="str">
        <f t="shared" ca="1" si="0"/>
        <v/>
      </c>
      <c r="K63" s="19" t="str">
        <f t="shared" ref="K63:P63" ca="1" si="62">IFERROR(__xludf.DUMMYFUNCTION("iferror(lower(regexreplace(substitute(trim(if(B63="""",""empty"",B63)),"" "",""_""),""[^A-Za-z0-9_]"","""")))"),"empty")</f>
        <v>empty</v>
      </c>
      <c r="L63" s="19" t="str">
        <f t="shared" ca="1" si="62"/>
        <v>empty</v>
      </c>
      <c r="M63" s="19" t="str">
        <f t="shared" ca="1" si="62"/>
        <v>empty</v>
      </c>
      <c r="N63" s="19" t="str">
        <f t="shared" ca="1" si="62"/>
        <v>empty</v>
      </c>
      <c r="O63" s="19" t="str">
        <f t="shared" ca="1" si="62"/>
        <v>empty</v>
      </c>
      <c r="P63" s="19" t="str">
        <f t="shared" ca="1" si="62"/>
        <v>empty</v>
      </c>
      <c r="Q63" s="15" t="str">
        <f t="shared" ca="1" si="2"/>
        <v>www.looney.com</v>
      </c>
    </row>
    <row r="64" spans="1:17" ht="15.75" customHeight="1" x14ac:dyDescent="0.25">
      <c r="A64" s="19"/>
      <c r="B64" s="19"/>
      <c r="C64" s="19"/>
      <c r="D64" s="19"/>
      <c r="E64" s="19"/>
      <c r="F64" s="19"/>
      <c r="G64" s="19"/>
      <c r="H64" s="18"/>
      <c r="I64" s="18" t="str">
        <f t="shared" ca="1" si="3"/>
        <v/>
      </c>
      <c r="J64" s="19" t="str">
        <f t="shared" ca="1" si="0"/>
        <v/>
      </c>
      <c r="K64" s="19" t="str">
        <f t="shared" ref="K64:P64" ca="1" si="63">IFERROR(__xludf.DUMMYFUNCTION("iferror(lower(regexreplace(substitute(trim(if(B64="""",""empty"",B64)),"" "",""_""),""[^A-Za-z0-9_]"","""")))"),"empty")</f>
        <v>empty</v>
      </c>
      <c r="L64" s="19" t="str">
        <f t="shared" ca="1" si="63"/>
        <v>empty</v>
      </c>
      <c r="M64" s="19" t="str">
        <f t="shared" ca="1" si="63"/>
        <v>empty</v>
      </c>
      <c r="N64" s="19" t="str">
        <f t="shared" ca="1" si="63"/>
        <v>empty</v>
      </c>
      <c r="O64" s="19" t="str">
        <f t="shared" ca="1" si="63"/>
        <v>empty</v>
      </c>
      <c r="P64" s="19" t="str">
        <f t="shared" ca="1" si="63"/>
        <v>empty</v>
      </c>
      <c r="Q64" s="15" t="str">
        <f t="shared" ca="1" si="2"/>
        <v>www.looney.com</v>
      </c>
    </row>
    <row r="65" spans="1:17" ht="15.75" customHeight="1" x14ac:dyDescent="0.25">
      <c r="A65" s="19"/>
      <c r="B65" s="19"/>
      <c r="C65" s="19"/>
      <c r="D65" s="19"/>
      <c r="E65" s="19"/>
      <c r="F65" s="19"/>
      <c r="G65" s="19"/>
      <c r="H65" s="18"/>
      <c r="I65" s="18" t="str">
        <f t="shared" ca="1" si="3"/>
        <v/>
      </c>
      <c r="J65" s="19" t="str">
        <f t="shared" ca="1" si="0"/>
        <v/>
      </c>
      <c r="K65" s="19" t="str">
        <f t="shared" ref="K65:P65" ca="1" si="64">IFERROR(__xludf.DUMMYFUNCTION("iferror(lower(regexreplace(substitute(trim(if(B65="""",""empty"",B65)),"" "",""_""),""[^A-Za-z0-9_]"","""")))"),"empty")</f>
        <v>empty</v>
      </c>
      <c r="L65" s="19" t="str">
        <f t="shared" ca="1" si="64"/>
        <v>empty</v>
      </c>
      <c r="M65" s="19" t="str">
        <f t="shared" ca="1" si="64"/>
        <v>empty</v>
      </c>
      <c r="N65" s="19" t="str">
        <f t="shared" ca="1" si="64"/>
        <v>empty</v>
      </c>
      <c r="O65" s="19" t="str">
        <f t="shared" ca="1" si="64"/>
        <v>empty</v>
      </c>
      <c r="P65" s="19" t="str">
        <f t="shared" ca="1" si="64"/>
        <v>empty</v>
      </c>
      <c r="Q65" s="15" t="str">
        <f t="shared" ca="1" si="2"/>
        <v>www.looney.com</v>
      </c>
    </row>
    <row r="66" spans="1:17" ht="15.75" customHeight="1" x14ac:dyDescent="0.25">
      <c r="A66" s="19"/>
      <c r="B66" s="19"/>
      <c r="C66" s="19"/>
      <c r="D66" s="19"/>
      <c r="E66" s="19"/>
      <c r="F66" s="19"/>
      <c r="G66" s="19"/>
      <c r="H66" s="18"/>
      <c r="I66" s="18" t="str">
        <f t="shared" ca="1" si="3"/>
        <v/>
      </c>
      <c r="J66" s="19" t="str">
        <f t="shared" ca="1" si="0"/>
        <v/>
      </c>
      <c r="K66" s="19" t="str">
        <f t="shared" ref="K66:P66" ca="1" si="65">IFERROR(__xludf.DUMMYFUNCTION("iferror(lower(regexreplace(substitute(trim(if(B66="""",""empty"",B66)),"" "",""_""),""[^A-Za-z0-9_]"","""")))"),"empty")</f>
        <v>empty</v>
      </c>
      <c r="L66" s="19" t="str">
        <f t="shared" ca="1" si="65"/>
        <v>empty</v>
      </c>
      <c r="M66" s="19" t="str">
        <f t="shared" ca="1" si="65"/>
        <v>empty</v>
      </c>
      <c r="N66" s="19" t="str">
        <f t="shared" ca="1" si="65"/>
        <v>empty</v>
      </c>
      <c r="O66" s="19" t="str">
        <f t="shared" ca="1" si="65"/>
        <v>empty</v>
      </c>
      <c r="P66" s="19" t="str">
        <f t="shared" ca="1" si="65"/>
        <v>empty</v>
      </c>
      <c r="Q66" s="15" t="str">
        <f t="shared" ca="1" si="2"/>
        <v>www.looney.com</v>
      </c>
    </row>
    <row r="67" spans="1:17" ht="15.75" customHeight="1" x14ac:dyDescent="0.25">
      <c r="A67" s="19"/>
      <c r="B67" s="19"/>
      <c r="C67" s="19"/>
      <c r="D67" s="19"/>
      <c r="E67" s="19"/>
      <c r="F67" s="19"/>
      <c r="G67" s="19"/>
      <c r="H67" s="18"/>
      <c r="I67" s="18" t="str">
        <f t="shared" ca="1" si="3"/>
        <v/>
      </c>
      <c r="J67" s="19" t="str">
        <f t="shared" ca="1" si="0"/>
        <v/>
      </c>
      <c r="K67" s="19" t="str">
        <f t="shared" ref="K67:P67" ca="1" si="66">IFERROR(__xludf.DUMMYFUNCTION("iferror(lower(regexreplace(substitute(trim(if(B67="""",""empty"",B67)),"" "",""_""),""[^A-Za-z0-9_]"","""")))"),"empty")</f>
        <v>empty</v>
      </c>
      <c r="L67" s="19" t="str">
        <f t="shared" ca="1" si="66"/>
        <v>empty</v>
      </c>
      <c r="M67" s="19" t="str">
        <f t="shared" ca="1" si="66"/>
        <v>empty</v>
      </c>
      <c r="N67" s="19" t="str">
        <f t="shared" ca="1" si="66"/>
        <v>empty</v>
      </c>
      <c r="O67" s="19" t="str">
        <f t="shared" ca="1" si="66"/>
        <v>empty</v>
      </c>
      <c r="P67" s="19" t="str">
        <f t="shared" ca="1" si="66"/>
        <v>empty</v>
      </c>
      <c r="Q67" s="15" t="str">
        <f t="shared" ca="1" si="2"/>
        <v>www.looney.com</v>
      </c>
    </row>
    <row r="68" spans="1:17" ht="15.75" customHeight="1" x14ac:dyDescent="0.25">
      <c r="A68" s="19"/>
      <c r="B68" s="19"/>
      <c r="C68" s="19"/>
      <c r="D68" s="19"/>
      <c r="E68" s="19"/>
      <c r="F68" s="19"/>
      <c r="G68" s="19"/>
      <c r="H68" s="18"/>
      <c r="I68" s="18" t="str">
        <f t="shared" ca="1" si="3"/>
        <v/>
      </c>
      <c r="J68" s="19" t="str">
        <f t="shared" ca="1" si="0"/>
        <v/>
      </c>
      <c r="K68" s="19" t="str">
        <f t="shared" ref="K68:P68" ca="1" si="67">IFERROR(__xludf.DUMMYFUNCTION("iferror(lower(regexreplace(substitute(trim(if(B68="""",""empty"",B68)),"" "",""_""),""[^A-Za-z0-9_]"","""")))"),"empty")</f>
        <v>empty</v>
      </c>
      <c r="L68" s="19" t="str">
        <f t="shared" ca="1" si="67"/>
        <v>empty</v>
      </c>
      <c r="M68" s="19" t="str">
        <f t="shared" ca="1" si="67"/>
        <v>empty</v>
      </c>
      <c r="N68" s="19" t="str">
        <f t="shared" ca="1" si="67"/>
        <v>empty</v>
      </c>
      <c r="O68" s="19" t="str">
        <f t="shared" ca="1" si="67"/>
        <v>empty</v>
      </c>
      <c r="P68" s="19" t="str">
        <f t="shared" ca="1" si="67"/>
        <v>empty</v>
      </c>
      <c r="Q68" s="15" t="str">
        <f t="shared" ca="1" si="2"/>
        <v>www.looney.com</v>
      </c>
    </row>
    <row r="69" spans="1:17" ht="15.75" customHeight="1" x14ac:dyDescent="0.25">
      <c r="A69" s="19"/>
      <c r="B69" s="19"/>
      <c r="C69" s="19"/>
      <c r="D69" s="19"/>
      <c r="E69" s="19"/>
      <c r="F69" s="19"/>
      <c r="G69" s="19"/>
      <c r="H69" s="18"/>
      <c r="I69" s="18" t="str">
        <f t="shared" ca="1" si="3"/>
        <v/>
      </c>
      <c r="J69" s="19" t="str">
        <f t="shared" ca="1" si="0"/>
        <v/>
      </c>
      <c r="K69" s="19" t="str">
        <f t="shared" ref="K69:P69" ca="1" si="68">IFERROR(__xludf.DUMMYFUNCTION("iferror(lower(regexreplace(substitute(trim(if(B69="""",""empty"",B69)),"" "",""_""),""[^A-Za-z0-9_]"","""")))"),"empty")</f>
        <v>empty</v>
      </c>
      <c r="L69" s="19" t="str">
        <f t="shared" ca="1" si="68"/>
        <v>empty</v>
      </c>
      <c r="M69" s="19" t="str">
        <f t="shared" ca="1" si="68"/>
        <v>empty</v>
      </c>
      <c r="N69" s="19" t="str">
        <f t="shared" ca="1" si="68"/>
        <v>empty</v>
      </c>
      <c r="O69" s="19" t="str">
        <f t="shared" ca="1" si="68"/>
        <v>empty</v>
      </c>
      <c r="P69" s="19" t="str">
        <f t="shared" ca="1" si="68"/>
        <v>empty</v>
      </c>
      <c r="Q69" s="15" t="str">
        <f t="shared" ca="1" si="2"/>
        <v>www.looney.com</v>
      </c>
    </row>
    <row r="70" spans="1:17" ht="15.75" customHeight="1" x14ac:dyDescent="0.25">
      <c r="A70" s="19"/>
      <c r="B70" s="19"/>
      <c r="C70" s="19"/>
      <c r="D70" s="19"/>
      <c r="E70" s="19"/>
      <c r="F70" s="19"/>
      <c r="G70" s="19"/>
      <c r="H70" s="18"/>
      <c r="I70" s="18" t="str">
        <f t="shared" ca="1" si="3"/>
        <v/>
      </c>
      <c r="J70" s="19" t="str">
        <f t="shared" ca="1" si="0"/>
        <v/>
      </c>
      <c r="K70" s="19" t="str">
        <f t="shared" ref="K70:P70" ca="1" si="69">IFERROR(__xludf.DUMMYFUNCTION("iferror(lower(regexreplace(substitute(trim(if(B70="""",""empty"",B70)),"" "",""_""),""[^A-Za-z0-9_]"","""")))"),"empty")</f>
        <v>empty</v>
      </c>
      <c r="L70" s="19" t="str">
        <f t="shared" ca="1" si="69"/>
        <v>empty</v>
      </c>
      <c r="M70" s="19" t="str">
        <f t="shared" ca="1" si="69"/>
        <v>empty</v>
      </c>
      <c r="N70" s="19" t="str">
        <f t="shared" ca="1" si="69"/>
        <v>empty</v>
      </c>
      <c r="O70" s="19" t="str">
        <f t="shared" ca="1" si="69"/>
        <v>empty</v>
      </c>
      <c r="P70" s="19" t="str">
        <f t="shared" ca="1" si="69"/>
        <v>empty</v>
      </c>
      <c r="Q70" s="15" t="str">
        <f t="shared" ca="1" si="2"/>
        <v>www.looney.com</v>
      </c>
    </row>
    <row r="71" spans="1:17" ht="15.75" customHeight="1" x14ac:dyDescent="0.25">
      <c r="A71" s="19"/>
      <c r="B71" s="19"/>
      <c r="C71" s="19"/>
      <c r="D71" s="19"/>
      <c r="E71" s="19"/>
      <c r="F71" s="19"/>
      <c r="G71" s="19"/>
      <c r="H71" s="18"/>
      <c r="I71" s="18" t="str">
        <f t="shared" ca="1" si="3"/>
        <v/>
      </c>
      <c r="J71" s="19" t="str">
        <f t="shared" ca="1" si="0"/>
        <v/>
      </c>
      <c r="K71" s="19" t="str">
        <f t="shared" ref="K71:P71" ca="1" si="70">IFERROR(__xludf.DUMMYFUNCTION("iferror(lower(regexreplace(substitute(trim(if(B71="""",""empty"",B71)),"" "",""_""),""[^A-Za-z0-9_]"","""")))"),"empty")</f>
        <v>empty</v>
      </c>
      <c r="L71" s="19" t="str">
        <f t="shared" ca="1" si="70"/>
        <v>empty</v>
      </c>
      <c r="M71" s="19" t="str">
        <f t="shared" ca="1" si="70"/>
        <v>empty</v>
      </c>
      <c r="N71" s="19" t="str">
        <f t="shared" ca="1" si="70"/>
        <v>empty</v>
      </c>
      <c r="O71" s="19" t="str">
        <f t="shared" ca="1" si="70"/>
        <v>empty</v>
      </c>
      <c r="P71" s="19" t="str">
        <f t="shared" ca="1" si="70"/>
        <v>empty</v>
      </c>
      <c r="Q71" s="15" t="str">
        <f t="shared" ca="1" si="2"/>
        <v>www.looney.com</v>
      </c>
    </row>
    <row r="72" spans="1:17" ht="15.75" customHeight="1" x14ac:dyDescent="0.25">
      <c r="A72" s="19"/>
      <c r="B72" s="19"/>
      <c r="C72" s="19"/>
      <c r="D72" s="19"/>
      <c r="E72" s="19"/>
      <c r="F72" s="19"/>
      <c r="G72" s="19"/>
      <c r="H72" s="18"/>
      <c r="I72" s="18" t="str">
        <f t="shared" ca="1" si="3"/>
        <v/>
      </c>
      <c r="J72" s="19" t="str">
        <f t="shared" ca="1" si="0"/>
        <v/>
      </c>
      <c r="K72" s="19" t="str">
        <f t="shared" ref="K72:P72" ca="1" si="71">IFERROR(__xludf.DUMMYFUNCTION("iferror(lower(regexreplace(substitute(trim(if(B72="""",""empty"",B72)),"" "",""_""),""[^A-Za-z0-9_]"","""")))"),"empty")</f>
        <v>empty</v>
      </c>
      <c r="L72" s="19" t="str">
        <f t="shared" ca="1" si="71"/>
        <v>empty</v>
      </c>
      <c r="M72" s="19" t="str">
        <f t="shared" ca="1" si="71"/>
        <v>empty</v>
      </c>
      <c r="N72" s="19" t="str">
        <f t="shared" ca="1" si="71"/>
        <v>empty</v>
      </c>
      <c r="O72" s="19" t="str">
        <f t="shared" ca="1" si="71"/>
        <v>empty</v>
      </c>
      <c r="P72" s="19" t="str">
        <f t="shared" ca="1" si="71"/>
        <v>empty</v>
      </c>
      <c r="Q72" s="15" t="str">
        <f t="shared" ca="1" si="2"/>
        <v>www.looney.com</v>
      </c>
    </row>
    <row r="73" spans="1:17" ht="15.75" customHeight="1" x14ac:dyDescent="0.25">
      <c r="A73" s="19"/>
      <c r="B73" s="19"/>
      <c r="C73" s="19"/>
      <c r="D73" s="19"/>
      <c r="E73" s="19"/>
      <c r="F73" s="19"/>
      <c r="G73" s="19"/>
      <c r="H73" s="18"/>
      <c r="I73" s="18" t="str">
        <f t="shared" ca="1" si="3"/>
        <v/>
      </c>
      <c r="J73" s="19" t="str">
        <f t="shared" ca="1" si="0"/>
        <v/>
      </c>
      <c r="K73" s="19" t="str">
        <f t="shared" ref="K73:P73" ca="1" si="72">IFERROR(__xludf.DUMMYFUNCTION("iferror(lower(regexreplace(substitute(trim(if(B73="""",""empty"",B73)),"" "",""_""),""[^A-Za-z0-9_]"","""")))"),"empty")</f>
        <v>empty</v>
      </c>
      <c r="L73" s="19" t="str">
        <f t="shared" ca="1" si="72"/>
        <v>empty</v>
      </c>
      <c r="M73" s="19" t="str">
        <f t="shared" ca="1" si="72"/>
        <v>empty</v>
      </c>
      <c r="N73" s="19" t="str">
        <f t="shared" ca="1" si="72"/>
        <v>empty</v>
      </c>
      <c r="O73" s="19" t="str">
        <f t="shared" ca="1" si="72"/>
        <v>empty</v>
      </c>
      <c r="P73" s="19" t="str">
        <f t="shared" ca="1" si="72"/>
        <v>empty</v>
      </c>
      <c r="Q73" s="15" t="str">
        <f t="shared" ca="1" si="2"/>
        <v>www.looney.com</v>
      </c>
    </row>
    <row r="74" spans="1:17" ht="15.75" customHeight="1" x14ac:dyDescent="0.25">
      <c r="A74" s="19"/>
      <c r="B74" s="19"/>
      <c r="C74" s="19"/>
      <c r="D74" s="19"/>
      <c r="E74" s="19"/>
      <c r="F74" s="19"/>
      <c r="G74" s="19"/>
      <c r="H74" s="18"/>
      <c r="I74" s="18" t="str">
        <f t="shared" ca="1" si="3"/>
        <v/>
      </c>
      <c r="J74" s="19" t="str">
        <f t="shared" ca="1" si="0"/>
        <v/>
      </c>
      <c r="K74" s="19" t="str">
        <f t="shared" ref="K74:P74" ca="1" si="73">IFERROR(__xludf.DUMMYFUNCTION("iferror(lower(regexreplace(substitute(trim(if(B74="""",""empty"",B74)),"" "",""_""),""[^A-Za-z0-9_]"","""")))"),"empty")</f>
        <v>empty</v>
      </c>
      <c r="L74" s="19" t="str">
        <f t="shared" ca="1" si="73"/>
        <v>empty</v>
      </c>
      <c r="M74" s="19" t="str">
        <f t="shared" ca="1" si="73"/>
        <v>empty</v>
      </c>
      <c r="N74" s="19" t="str">
        <f t="shared" ca="1" si="73"/>
        <v>empty</v>
      </c>
      <c r="O74" s="19" t="str">
        <f t="shared" ca="1" si="73"/>
        <v>empty</v>
      </c>
      <c r="P74" s="19" t="str">
        <f t="shared" ca="1" si="73"/>
        <v>empty</v>
      </c>
      <c r="Q74" s="15" t="str">
        <f t="shared" ca="1" si="2"/>
        <v>www.looney.com</v>
      </c>
    </row>
    <row r="75" spans="1:17" ht="15.75" customHeight="1" x14ac:dyDescent="0.25">
      <c r="A75" s="19"/>
      <c r="B75" s="19"/>
      <c r="C75" s="19"/>
      <c r="D75" s="19"/>
      <c r="E75" s="19"/>
      <c r="F75" s="19"/>
      <c r="G75" s="19"/>
      <c r="H75" s="18"/>
      <c r="I75" s="18" t="str">
        <f t="shared" ca="1" si="3"/>
        <v/>
      </c>
      <c r="J75" s="19" t="str">
        <f t="shared" ca="1" si="0"/>
        <v/>
      </c>
      <c r="K75" s="19" t="str">
        <f t="shared" ref="K75:P75" ca="1" si="74">IFERROR(__xludf.DUMMYFUNCTION("iferror(lower(regexreplace(substitute(trim(if(B75="""",""empty"",B75)),"" "",""_""),""[^A-Za-z0-9_]"","""")))"),"empty")</f>
        <v>empty</v>
      </c>
      <c r="L75" s="19" t="str">
        <f t="shared" ca="1" si="74"/>
        <v>empty</v>
      </c>
      <c r="M75" s="19" t="str">
        <f t="shared" ca="1" si="74"/>
        <v>empty</v>
      </c>
      <c r="N75" s="19" t="str">
        <f t="shared" ca="1" si="74"/>
        <v>empty</v>
      </c>
      <c r="O75" s="19" t="str">
        <f t="shared" ca="1" si="74"/>
        <v>empty</v>
      </c>
      <c r="P75" s="19" t="str">
        <f t="shared" ca="1" si="74"/>
        <v>empty</v>
      </c>
      <c r="Q75" s="15" t="str">
        <f t="shared" ca="1" si="2"/>
        <v>www.looney.com</v>
      </c>
    </row>
    <row r="76" spans="1:17" ht="15.75" customHeight="1" x14ac:dyDescent="0.25">
      <c r="A76" s="19"/>
      <c r="B76" s="19"/>
      <c r="C76" s="19"/>
      <c r="D76" s="19"/>
      <c r="E76" s="19"/>
      <c r="F76" s="19"/>
      <c r="G76" s="19"/>
      <c r="H76" s="18"/>
      <c r="I76" s="18" t="str">
        <f t="shared" ca="1" si="3"/>
        <v/>
      </c>
      <c r="J76" s="19" t="str">
        <f t="shared" ca="1" si="0"/>
        <v/>
      </c>
      <c r="K76" s="19" t="str">
        <f t="shared" ref="K76:P76" ca="1" si="75">IFERROR(__xludf.DUMMYFUNCTION("iferror(lower(regexreplace(substitute(trim(if(B76="""",""empty"",B76)),"" "",""_""),""[^A-Za-z0-9_]"","""")))"),"empty")</f>
        <v>empty</v>
      </c>
      <c r="L76" s="19" t="str">
        <f t="shared" ca="1" si="75"/>
        <v>empty</v>
      </c>
      <c r="M76" s="19" t="str">
        <f t="shared" ca="1" si="75"/>
        <v>empty</v>
      </c>
      <c r="N76" s="19" t="str">
        <f t="shared" ca="1" si="75"/>
        <v>empty</v>
      </c>
      <c r="O76" s="19" t="str">
        <f t="shared" ca="1" si="75"/>
        <v>empty</v>
      </c>
      <c r="P76" s="19" t="str">
        <f t="shared" ca="1" si="75"/>
        <v>empty</v>
      </c>
      <c r="Q76" s="15" t="str">
        <f t="shared" ca="1" si="2"/>
        <v>www.looney.com</v>
      </c>
    </row>
    <row r="77" spans="1:17" ht="15.75" customHeight="1" x14ac:dyDescent="0.25">
      <c r="A77" s="19"/>
      <c r="B77" s="19"/>
      <c r="C77" s="19"/>
      <c r="D77" s="19"/>
      <c r="E77" s="19"/>
      <c r="F77" s="19"/>
      <c r="G77" s="19"/>
      <c r="H77" s="18"/>
      <c r="I77" s="18" t="str">
        <f t="shared" ca="1" si="3"/>
        <v/>
      </c>
      <c r="J77" s="19" t="str">
        <f t="shared" ca="1" si="0"/>
        <v/>
      </c>
      <c r="K77" s="19" t="str">
        <f t="shared" ref="K77:P77" ca="1" si="76">IFERROR(__xludf.DUMMYFUNCTION("iferror(lower(regexreplace(substitute(trim(if(B77="""",""empty"",B77)),"" "",""_""),""[^A-Za-z0-9_]"","""")))"),"empty")</f>
        <v>empty</v>
      </c>
      <c r="L77" s="19" t="str">
        <f t="shared" ca="1" si="76"/>
        <v>empty</v>
      </c>
      <c r="M77" s="19" t="str">
        <f t="shared" ca="1" si="76"/>
        <v>empty</v>
      </c>
      <c r="N77" s="19" t="str">
        <f t="shared" ca="1" si="76"/>
        <v>empty</v>
      </c>
      <c r="O77" s="19" t="str">
        <f t="shared" ca="1" si="76"/>
        <v>empty</v>
      </c>
      <c r="P77" s="19" t="str">
        <f t="shared" ca="1" si="76"/>
        <v>empty</v>
      </c>
      <c r="Q77" s="15" t="str">
        <f t="shared" ca="1" si="2"/>
        <v>www.looney.com</v>
      </c>
    </row>
    <row r="78" spans="1:17" ht="15.75" customHeight="1" x14ac:dyDescent="0.25">
      <c r="A78" s="19"/>
      <c r="B78" s="19"/>
      <c r="C78" s="19"/>
      <c r="D78" s="19"/>
      <c r="E78" s="19"/>
      <c r="F78" s="19"/>
      <c r="G78" s="19"/>
      <c r="H78" s="18"/>
      <c r="I78" s="18" t="str">
        <f t="shared" ca="1" si="3"/>
        <v/>
      </c>
      <c r="J78" s="19" t="str">
        <f t="shared" ca="1" si="0"/>
        <v/>
      </c>
      <c r="K78" s="19" t="str">
        <f t="shared" ref="K78:P78" ca="1" si="77">IFERROR(__xludf.DUMMYFUNCTION("iferror(lower(regexreplace(substitute(trim(if(B78="""",""empty"",B78)),"" "",""_""),""[^A-Za-z0-9_]"","""")))"),"empty")</f>
        <v>empty</v>
      </c>
      <c r="L78" s="19" t="str">
        <f t="shared" ca="1" si="77"/>
        <v>empty</v>
      </c>
      <c r="M78" s="19" t="str">
        <f t="shared" ca="1" si="77"/>
        <v>empty</v>
      </c>
      <c r="N78" s="19" t="str">
        <f t="shared" ca="1" si="77"/>
        <v>empty</v>
      </c>
      <c r="O78" s="19" t="str">
        <f t="shared" ca="1" si="77"/>
        <v>empty</v>
      </c>
      <c r="P78" s="19" t="str">
        <f t="shared" ca="1" si="77"/>
        <v>empty</v>
      </c>
      <c r="Q78" s="15" t="str">
        <f t="shared" ca="1" si="2"/>
        <v>www.looney.com</v>
      </c>
    </row>
    <row r="79" spans="1:17" ht="15.75" customHeight="1" x14ac:dyDescent="0.25">
      <c r="A79" s="19"/>
      <c r="B79" s="19"/>
      <c r="C79" s="19"/>
      <c r="D79" s="19"/>
      <c r="E79" s="19"/>
      <c r="F79" s="19"/>
      <c r="G79" s="19"/>
      <c r="H79" s="18"/>
      <c r="I79" s="18" t="str">
        <f t="shared" ca="1" si="3"/>
        <v/>
      </c>
      <c r="J79" s="19" t="str">
        <f t="shared" ca="1" si="0"/>
        <v/>
      </c>
      <c r="K79" s="19" t="str">
        <f t="shared" ref="K79:P79" ca="1" si="78">IFERROR(__xludf.DUMMYFUNCTION("iferror(lower(regexreplace(substitute(trim(if(B79="""",""empty"",B79)),"" "",""_""),""[^A-Za-z0-9_]"","""")))"),"empty")</f>
        <v>empty</v>
      </c>
      <c r="L79" s="19" t="str">
        <f t="shared" ca="1" si="78"/>
        <v>empty</v>
      </c>
      <c r="M79" s="19" t="str">
        <f t="shared" ca="1" si="78"/>
        <v>empty</v>
      </c>
      <c r="N79" s="19" t="str">
        <f t="shared" ca="1" si="78"/>
        <v>empty</v>
      </c>
      <c r="O79" s="19" t="str">
        <f t="shared" ca="1" si="78"/>
        <v>empty</v>
      </c>
      <c r="P79" s="19" t="str">
        <f t="shared" ca="1" si="78"/>
        <v>empty</v>
      </c>
      <c r="Q79" s="15" t="str">
        <f t="shared" ca="1" si="2"/>
        <v>www.looney.com</v>
      </c>
    </row>
    <row r="80" spans="1:17" ht="15.75" customHeight="1" x14ac:dyDescent="0.25">
      <c r="A80" s="19"/>
      <c r="B80" s="19"/>
      <c r="C80" s="19"/>
      <c r="D80" s="19"/>
      <c r="E80" s="19"/>
      <c r="F80" s="19"/>
      <c r="G80" s="19"/>
      <c r="H80" s="18"/>
      <c r="I80" s="18" t="str">
        <f t="shared" ca="1" si="3"/>
        <v/>
      </c>
      <c r="J80" s="19" t="str">
        <f t="shared" ca="1" si="0"/>
        <v/>
      </c>
      <c r="K80" s="19" t="str">
        <f t="shared" ref="K80:P80" ca="1" si="79">IFERROR(__xludf.DUMMYFUNCTION("iferror(lower(regexreplace(substitute(trim(if(B80="""",""empty"",B80)),"" "",""_""),""[^A-Za-z0-9_]"","""")))"),"empty")</f>
        <v>empty</v>
      </c>
      <c r="L80" s="19" t="str">
        <f t="shared" ca="1" si="79"/>
        <v>empty</v>
      </c>
      <c r="M80" s="19" t="str">
        <f t="shared" ca="1" si="79"/>
        <v>empty</v>
      </c>
      <c r="N80" s="19" t="str">
        <f t="shared" ca="1" si="79"/>
        <v>empty</v>
      </c>
      <c r="O80" s="19" t="str">
        <f t="shared" ca="1" si="79"/>
        <v>empty</v>
      </c>
      <c r="P80" s="19" t="str">
        <f t="shared" ca="1" si="79"/>
        <v>empty</v>
      </c>
      <c r="Q80" s="15" t="str">
        <f t="shared" ca="1" si="2"/>
        <v>www.looney.com</v>
      </c>
    </row>
    <row r="81" spans="1:17" ht="15.75" customHeight="1" x14ac:dyDescent="0.25">
      <c r="A81" s="19"/>
      <c r="B81" s="19"/>
      <c r="C81" s="19"/>
      <c r="D81" s="19"/>
      <c r="E81" s="19"/>
      <c r="F81" s="19"/>
      <c r="G81" s="19"/>
      <c r="H81" s="18"/>
      <c r="I81" s="18" t="str">
        <f t="shared" ca="1" si="3"/>
        <v/>
      </c>
      <c r="J81" s="19" t="str">
        <f t="shared" ca="1" si="0"/>
        <v/>
      </c>
      <c r="K81" s="19" t="str">
        <f t="shared" ref="K81:P81" ca="1" si="80">IFERROR(__xludf.DUMMYFUNCTION("iferror(lower(regexreplace(substitute(trim(if(B81="""",""empty"",B81)),"" "",""_""),""[^A-Za-z0-9_]"","""")))"),"empty")</f>
        <v>empty</v>
      </c>
      <c r="L81" s="19" t="str">
        <f t="shared" ca="1" si="80"/>
        <v>empty</v>
      </c>
      <c r="M81" s="19" t="str">
        <f t="shared" ca="1" si="80"/>
        <v>empty</v>
      </c>
      <c r="N81" s="19" t="str">
        <f t="shared" ca="1" si="80"/>
        <v>empty</v>
      </c>
      <c r="O81" s="19" t="str">
        <f t="shared" ca="1" si="80"/>
        <v>empty</v>
      </c>
      <c r="P81" s="19" t="str">
        <f t="shared" ca="1" si="80"/>
        <v>empty</v>
      </c>
      <c r="Q81" s="15" t="str">
        <f t="shared" ca="1" si="2"/>
        <v>www.looney.com</v>
      </c>
    </row>
    <row r="82" spans="1:17" ht="15.75" customHeight="1" x14ac:dyDescent="0.25">
      <c r="A82" s="19"/>
      <c r="B82" s="19"/>
      <c r="C82" s="19"/>
      <c r="D82" s="19"/>
      <c r="E82" s="19"/>
      <c r="F82" s="19"/>
      <c r="G82" s="19"/>
      <c r="H82" s="18"/>
      <c r="I82" s="18" t="str">
        <f t="shared" ca="1" si="3"/>
        <v/>
      </c>
      <c r="J82" s="19" t="str">
        <f t="shared" ca="1" si="0"/>
        <v/>
      </c>
      <c r="K82" s="19" t="str">
        <f t="shared" ref="K82:P82" ca="1" si="81">IFERROR(__xludf.DUMMYFUNCTION("iferror(lower(regexreplace(substitute(trim(if(B82="""",""empty"",B82)),"" "",""_""),""[^A-Za-z0-9_]"","""")))"),"empty")</f>
        <v>empty</v>
      </c>
      <c r="L82" s="19" t="str">
        <f t="shared" ca="1" si="81"/>
        <v>empty</v>
      </c>
      <c r="M82" s="19" t="str">
        <f t="shared" ca="1" si="81"/>
        <v>empty</v>
      </c>
      <c r="N82" s="19" t="str">
        <f t="shared" ca="1" si="81"/>
        <v>empty</v>
      </c>
      <c r="O82" s="19" t="str">
        <f t="shared" ca="1" si="81"/>
        <v>empty</v>
      </c>
      <c r="P82" s="19" t="str">
        <f t="shared" ca="1" si="81"/>
        <v>empty</v>
      </c>
      <c r="Q82" s="15" t="str">
        <f t="shared" ca="1" si="2"/>
        <v>www.looney.com</v>
      </c>
    </row>
    <row r="83" spans="1:17" ht="15.75" customHeight="1" x14ac:dyDescent="0.25">
      <c r="A83" s="19"/>
      <c r="B83" s="19"/>
      <c r="C83" s="19"/>
      <c r="D83" s="19"/>
      <c r="E83" s="19"/>
      <c r="F83" s="19"/>
      <c r="G83" s="19"/>
      <c r="H83" s="18"/>
      <c r="I83" s="18" t="str">
        <f t="shared" ca="1" si="3"/>
        <v/>
      </c>
      <c r="J83" s="19" t="str">
        <f t="shared" ca="1" si="0"/>
        <v/>
      </c>
      <c r="K83" s="19" t="str">
        <f t="shared" ref="K83:P83" ca="1" si="82">IFERROR(__xludf.DUMMYFUNCTION("iferror(lower(regexreplace(substitute(trim(if(B83="""",""empty"",B83)),"" "",""_""),""[^A-Za-z0-9_]"","""")))"),"empty")</f>
        <v>empty</v>
      </c>
      <c r="L83" s="19" t="str">
        <f t="shared" ca="1" si="82"/>
        <v>empty</v>
      </c>
      <c r="M83" s="19" t="str">
        <f t="shared" ca="1" si="82"/>
        <v>empty</v>
      </c>
      <c r="N83" s="19" t="str">
        <f t="shared" ca="1" si="82"/>
        <v>empty</v>
      </c>
      <c r="O83" s="19" t="str">
        <f t="shared" ca="1" si="82"/>
        <v>empty</v>
      </c>
      <c r="P83" s="19" t="str">
        <f t="shared" ca="1" si="82"/>
        <v>empty</v>
      </c>
      <c r="Q83" s="15" t="str">
        <f t="shared" ca="1" si="2"/>
        <v>www.looney.com</v>
      </c>
    </row>
    <row r="84" spans="1:17" ht="15.75" customHeight="1" x14ac:dyDescent="0.25">
      <c r="A84" s="19"/>
      <c r="B84" s="19"/>
      <c r="C84" s="19"/>
      <c r="D84" s="19"/>
      <c r="E84" s="19"/>
      <c r="F84" s="19"/>
      <c r="G84" s="19"/>
      <c r="H84" s="18"/>
      <c r="I84" s="18" t="str">
        <f t="shared" ca="1" si="3"/>
        <v/>
      </c>
      <c r="J84" s="19" t="str">
        <f t="shared" ca="1" si="0"/>
        <v/>
      </c>
      <c r="K84" s="19" t="str">
        <f t="shared" ref="K84:P84" ca="1" si="83">IFERROR(__xludf.DUMMYFUNCTION("iferror(lower(regexreplace(substitute(trim(if(B84="""",""empty"",B84)),"" "",""_""),""[^A-Za-z0-9_]"","""")))"),"empty")</f>
        <v>empty</v>
      </c>
      <c r="L84" s="19" t="str">
        <f t="shared" ca="1" si="83"/>
        <v>empty</v>
      </c>
      <c r="M84" s="19" t="str">
        <f t="shared" ca="1" si="83"/>
        <v>empty</v>
      </c>
      <c r="N84" s="19" t="str">
        <f t="shared" ca="1" si="83"/>
        <v>empty</v>
      </c>
      <c r="O84" s="19" t="str">
        <f t="shared" ca="1" si="83"/>
        <v>empty</v>
      </c>
      <c r="P84" s="19" t="str">
        <f t="shared" ca="1" si="83"/>
        <v>empty</v>
      </c>
      <c r="Q84" s="15" t="str">
        <f t="shared" ca="1" si="2"/>
        <v>www.looney.com</v>
      </c>
    </row>
    <row r="85" spans="1:17" ht="15.75" customHeight="1" x14ac:dyDescent="0.25">
      <c r="A85" s="19"/>
      <c r="B85" s="19"/>
      <c r="C85" s="19"/>
      <c r="D85" s="19"/>
      <c r="E85" s="19"/>
      <c r="F85" s="19"/>
      <c r="G85" s="19"/>
      <c r="H85" s="18"/>
      <c r="I85" s="18" t="str">
        <f t="shared" ca="1" si="3"/>
        <v/>
      </c>
      <c r="J85" s="19" t="str">
        <f t="shared" ca="1" si="0"/>
        <v/>
      </c>
      <c r="K85" s="19" t="str">
        <f t="shared" ref="K85:P85" ca="1" si="84">IFERROR(__xludf.DUMMYFUNCTION("iferror(lower(regexreplace(substitute(trim(if(B85="""",""empty"",B85)),"" "",""_""),""[^A-Za-z0-9_]"","""")))"),"empty")</f>
        <v>empty</v>
      </c>
      <c r="L85" s="19" t="str">
        <f t="shared" ca="1" si="84"/>
        <v>empty</v>
      </c>
      <c r="M85" s="19" t="str">
        <f t="shared" ca="1" si="84"/>
        <v>empty</v>
      </c>
      <c r="N85" s="19" t="str">
        <f t="shared" ca="1" si="84"/>
        <v>empty</v>
      </c>
      <c r="O85" s="19" t="str">
        <f t="shared" ca="1" si="84"/>
        <v>empty</v>
      </c>
      <c r="P85" s="19" t="str">
        <f t="shared" ca="1" si="84"/>
        <v>empty</v>
      </c>
      <c r="Q85" s="15" t="str">
        <f t="shared" ca="1" si="2"/>
        <v>www.looney.com</v>
      </c>
    </row>
    <row r="86" spans="1:17" ht="15.75" customHeight="1" x14ac:dyDescent="0.25">
      <c r="A86" s="19"/>
      <c r="B86" s="19"/>
      <c r="C86" s="19"/>
      <c r="D86" s="19"/>
      <c r="E86" s="19"/>
      <c r="F86" s="19"/>
      <c r="G86" s="19"/>
      <c r="H86" s="18"/>
      <c r="I86" s="18" t="str">
        <f t="shared" ca="1" si="3"/>
        <v/>
      </c>
      <c r="J86" s="19" t="str">
        <f t="shared" ca="1" si="0"/>
        <v/>
      </c>
      <c r="K86" s="19" t="str">
        <f t="shared" ref="K86:P86" ca="1" si="85">IFERROR(__xludf.DUMMYFUNCTION("iferror(lower(regexreplace(substitute(trim(if(B86="""",""empty"",B86)),"" "",""_""),""[^A-Za-z0-9_]"","""")))"),"empty")</f>
        <v>empty</v>
      </c>
      <c r="L86" s="19" t="str">
        <f t="shared" ca="1" si="85"/>
        <v>empty</v>
      </c>
      <c r="M86" s="19" t="str">
        <f t="shared" ca="1" si="85"/>
        <v>empty</v>
      </c>
      <c r="N86" s="19" t="str">
        <f t="shared" ca="1" si="85"/>
        <v>empty</v>
      </c>
      <c r="O86" s="19" t="str">
        <f t="shared" ca="1" si="85"/>
        <v>empty</v>
      </c>
      <c r="P86" s="19" t="str">
        <f t="shared" ca="1" si="85"/>
        <v>empty</v>
      </c>
      <c r="Q86" s="15" t="str">
        <f t="shared" ca="1" si="2"/>
        <v>www.looney.com</v>
      </c>
    </row>
    <row r="87" spans="1:17" ht="15.75" customHeight="1" x14ac:dyDescent="0.25">
      <c r="A87" s="19"/>
      <c r="B87" s="19"/>
      <c r="C87" s="19"/>
      <c r="D87" s="19"/>
      <c r="E87" s="19"/>
      <c r="F87" s="19"/>
      <c r="G87" s="19"/>
      <c r="H87" s="18"/>
      <c r="I87" s="18" t="str">
        <f t="shared" ca="1" si="3"/>
        <v/>
      </c>
      <c r="J87" s="19" t="str">
        <f t="shared" ca="1" si="0"/>
        <v/>
      </c>
      <c r="K87" s="19" t="str">
        <f t="shared" ref="K87:P87" ca="1" si="86">IFERROR(__xludf.DUMMYFUNCTION("iferror(lower(regexreplace(substitute(trim(if(B87="""",""empty"",B87)),"" "",""_""),""[^A-Za-z0-9_]"","""")))"),"empty")</f>
        <v>empty</v>
      </c>
      <c r="L87" s="19" t="str">
        <f t="shared" ca="1" si="86"/>
        <v>empty</v>
      </c>
      <c r="M87" s="19" t="str">
        <f t="shared" ca="1" si="86"/>
        <v>empty</v>
      </c>
      <c r="N87" s="19" t="str">
        <f t="shared" ca="1" si="86"/>
        <v>empty</v>
      </c>
      <c r="O87" s="19" t="str">
        <f t="shared" ca="1" si="86"/>
        <v>empty</v>
      </c>
      <c r="P87" s="19" t="str">
        <f t="shared" ca="1" si="86"/>
        <v>empty</v>
      </c>
      <c r="Q87" s="15" t="str">
        <f t="shared" ca="1" si="2"/>
        <v>www.looney.com</v>
      </c>
    </row>
    <row r="88" spans="1:17" ht="15.75" customHeight="1" x14ac:dyDescent="0.25">
      <c r="A88" s="19"/>
      <c r="B88" s="19"/>
      <c r="C88" s="19"/>
      <c r="D88" s="19"/>
      <c r="E88" s="19"/>
      <c r="F88" s="19"/>
      <c r="G88" s="19"/>
      <c r="H88" s="18"/>
      <c r="I88" s="18" t="str">
        <f t="shared" ca="1" si="3"/>
        <v/>
      </c>
      <c r="J88" s="19" t="str">
        <f t="shared" ca="1" si="0"/>
        <v/>
      </c>
      <c r="K88" s="19" t="str">
        <f t="shared" ref="K88:P88" ca="1" si="87">IFERROR(__xludf.DUMMYFUNCTION("iferror(lower(regexreplace(substitute(trim(if(B88="""",""empty"",B88)),"" "",""_""),""[^A-Za-z0-9_]"","""")))"),"empty")</f>
        <v>empty</v>
      </c>
      <c r="L88" s="19" t="str">
        <f t="shared" ca="1" si="87"/>
        <v>empty</v>
      </c>
      <c r="M88" s="19" t="str">
        <f t="shared" ca="1" si="87"/>
        <v>empty</v>
      </c>
      <c r="N88" s="19" t="str">
        <f t="shared" ca="1" si="87"/>
        <v>empty</v>
      </c>
      <c r="O88" s="19" t="str">
        <f t="shared" ca="1" si="87"/>
        <v>empty</v>
      </c>
      <c r="P88" s="19" t="str">
        <f t="shared" ca="1" si="87"/>
        <v>empty</v>
      </c>
      <c r="Q88" s="15" t="str">
        <f t="shared" ca="1" si="2"/>
        <v>www.looney.com</v>
      </c>
    </row>
    <row r="89" spans="1:17" ht="15.75" customHeight="1" x14ac:dyDescent="0.25">
      <c r="A89" s="19"/>
      <c r="B89" s="19"/>
      <c r="C89" s="19"/>
      <c r="D89" s="19"/>
      <c r="E89" s="19"/>
      <c r="F89" s="19"/>
      <c r="G89" s="19"/>
      <c r="H89" s="18"/>
      <c r="I89" s="18" t="str">
        <f t="shared" ca="1" si="3"/>
        <v/>
      </c>
      <c r="J89" s="19" t="str">
        <f t="shared" ca="1" si="0"/>
        <v/>
      </c>
      <c r="K89" s="19" t="str">
        <f t="shared" ref="K89:P89" ca="1" si="88">IFERROR(__xludf.DUMMYFUNCTION("iferror(lower(regexreplace(substitute(trim(if(B89="""",""empty"",B89)),"" "",""_""),""[^A-Za-z0-9_]"","""")))"),"empty")</f>
        <v>empty</v>
      </c>
      <c r="L89" s="19" t="str">
        <f t="shared" ca="1" si="88"/>
        <v>empty</v>
      </c>
      <c r="M89" s="19" t="str">
        <f t="shared" ca="1" si="88"/>
        <v>empty</v>
      </c>
      <c r="N89" s="19" t="str">
        <f t="shared" ca="1" si="88"/>
        <v>empty</v>
      </c>
      <c r="O89" s="19" t="str">
        <f t="shared" ca="1" si="88"/>
        <v>empty</v>
      </c>
      <c r="P89" s="19" t="str">
        <f t="shared" ca="1" si="88"/>
        <v>empty</v>
      </c>
      <c r="Q89" s="15" t="str">
        <f t="shared" ca="1" si="2"/>
        <v>www.looney.com</v>
      </c>
    </row>
    <row r="90" spans="1:17" ht="15.75" customHeight="1" x14ac:dyDescent="0.25">
      <c r="A90" s="19"/>
      <c r="B90" s="19"/>
      <c r="C90" s="19"/>
      <c r="D90" s="19"/>
      <c r="E90" s="19"/>
      <c r="F90" s="19"/>
      <c r="G90" s="19"/>
      <c r="H90" s="18"/>
      <c r="I90" s="18" t="str">
        <f t="shared" ca="1" si="3"/>
        <v/>
      </c>
      <c r="J90" s="19" t="str">
        <f t="shared" ca="1" si="0"/>
        <v/>
      </c>
      <c r="K90" s="19" t="str">
        <f t="shared" ref="K90:P90" ca="1" si="89">IFERROR(__xludf.DUMMYFUNCTION("iferror(lower(regexreplace(substitute(trim(if(B90="""",""empty"",B90)),"" "",""_""),""[^A-Za-z0-9_]"","""")))"),"empty")</f>
        <v>empty</v>
      </c>
      <c r="L90" s="19" t="str">
        <f t="shared" ca="1" si="89"/>
        <v>empty</v>
      </c>
      <c r="M90" s="19" t="str">
        <f t="shared" ca="1" si="89"/>
        <v>empty</v>
      </c>
      <c r="N90" s="19" t="str">
        <f t="shared" ca="1" si="89"/>
        <v>empty</v>
      </c>
      <c r="O90" s="19" t="str">
        <f t="shared" ca="1" si="89"/>
        <v>empty</v>
      </c>
      <c r="P90" s="19" t="str">
        <f t="shared" ca="1" si="89"/>
        <v>empty</v>
      </c>
      <c r="Q90" s="15" t="str">
        <f t="shared" ca="1" si="2"/>
        <v>www.looney.com</v>
      </c>
    </row>
    <row r="91" spans="1:17" ht="15.75" customHeight="1" x14ac:dyDescent="0.25">
      <c r="A91" s="19"/>
      <c r="B91" s="19"/>
      <c r="C91" s="19"/>
      <c r="D91" s="19"/>
      <c r="E91" s="19"/>
      <c r="F91" s="19"/>
      <c r="G91" s="19"/>
      <c r="H91" s="18"/>
      <c r="I91" s="18" t="str">
        <f t="shared" ca="1" si="3"/>
        <v/>
      </c>
      <c r="J91" s="19" t="str">
        <f t="shared" ca="1" si="0"/>
        <v/>
      </c>
      <c r="K91" s="19" t="str">
        <f t="shared" ref="K91:P91" ca="1" si="90">IFERROR(__xludf.DUMMYFUNCTION("iferror(lower(regexreplace(substitute(trim(if(B91="""",""empty"",B91)),"" "",""_""),""[^A-Za-z0-9_]"","""")))"),"empty")</f>
        <v>empty</v>
      </c>
      <c r="L91" s="19" t="str">
        <f t="shared" ca="1" si="90"/>
        <v>empty</v>
      </c>
      <c r="M91" s="19" t="str">
        <f t="shared" ca="1" si="90"/>
        <v>empty</v>
      </c>
      <c r="N91" s="19" t="str">
        <f t="shared" ca="1" si="90"/>
        <v>empty</v>
      </c>
      <c r="O91" s="19" t="str">
        <f t="shared" ca="1" si="90"/>
        <v>empty</v>
      </c>
      <c r="P91" s="19" t="str">
        <f t="shared" ca="1" si="90"/>
        <v>empty</v>
      </c>
      <c r="Q91" s="15" t="str">
        <f t="shared" ca="1" si="2"/>
        <v>www.looney.com</v>
      </c>
    </row>
    <row r="92" spans="1:17" ht="15.75" customHeight="1" x14ac:dyDescent="0.25">
      <c r="A92" s="19"/>
      <c r="B92" s="19"/>
      <c r="C92" s="19"/>
      <c r="D92" s="19"/>
      <c r="E92" s="19"/>
      <c r="F92" s="19"/>
      <c r="G92" s="19"/>
      <c r="H92" s="18"/>
      <c r="I92" s="18" t="str">
        <f t="shared" ca="1" si="3"/>
        <v/>
      </c>
      <c r="J92" s="19" t="str">
        <f t="shared" ca="1" si="0"/>
        <v/>
      </c>
      <c r="K92" s="19" t="str">
        <f t="shared" ref="K92:P92" ca="1" si="91">IFERROR(__xludf.DUMMYFUNCTION("iferror(lower(regexreplace(substitute(trim(if(B92="""",""empty"",B92)),"" "",""_""),""[^A-Za-z0-9_]"","""")))"),"empty")</f>
        <v>empty</v>
      </c>
      <c r="L92" s="19" t="str">
        <f t="shared" ca="1" si="91"/>
        <v>empty</v>
      </c>
      <c r="M92" s="19" t="str">
        <f t="shared" ca="1" si="91"/>
        <v>empty</v>
      </c>
      <c r="N92" s="19" t="str">
        <f t="shared" ca="1" si="91"/>
        <v>empty</v>
      </c>
      <c r="O92" s="19" t="str">
        <f t="shared" ca="1" si="91"/>
        <v>empty</v>
      </c>
      <c r="P92" s="19" t="str">
        <f t="shared" ca="1" si="91"/>
        <v>empty</v>
      </c>
      <c r="Q92" s="15" t="str">
        <f t="shared" ca="1" si="2"/>
        <v>www.looney.com</v>
      </c>
    </row>
    <row r="93" spans="1:17" ht="15.75" customHeight="1" x14ac:dyDescent="0.25">
      <c r="A93" s="19"/>
      <c r="B93" s="19"/>
      <c r="C93" s="19"/>
      <c r="D93" s="19"/>
      <c r="E93" s="19"/>
      <c r="F93" s="19"/>
      <c r="G93" s="19"/>
      <c r="H93" s="18"/>
      <c r="I93" s="18" t="str">
        <f t="shared" ca="1" si="3"/>
        <v/>
      </c>
      <c r="J93" s="19" t="str">
        <f t="shared" ca="1" si="0"/>
        <v/>
      </c>
      <c r="K93" s="19" t="str">
        <f t="shared" ref="K93:P93" ca="1" si="92">IFERROR(__xludf.DUMMYFUNCTION("iferror(lower(regexreplace(substitute(trim(if(B93="""",""empty"",B93)),"" "",""_""),""[^A-Za-z0-9_]"","""")))"),"empty")</f>
        <v>empty</v>
      </c>
      <c r="L93" s="19" t="str">
        <f t="shared" ca="1" si="92"/>
        <v>empty</v>
      </c>
      <c r="M93" s="19" t="str">
        <f t="shared" ca="1" si="92"/>
        <v>empty</v>
      </c>
      <c r="N93" s="19" t="str">
        <f t="shared" ca="1" si="92"/>
        <v>empty</v>
      </c>
      <c r="O93" s="19" t="str">
        <f t="shared" ca="1" si="92"/>
        <v>empty</v>
      </c>
      <c r="P93" s="19" t="str">
        <f t="shared" ca="1" si="92"/>
        <v>empty</v>
      </c>
      <c r="Q93" s="15" t="str">
        <f t="shared" ca="1" si="2"/>
        <v>www.looney.com</v>
      </c>
    </row>
    <row r="94" spans="1:17" ht="15.75" customHeight="1" x14ac:dyDescent="0.25">
      <c r="A94" s="19"/>
      <c r="B94" s="19"/>
      <c r="C94" s="19"/>
      <c r="D94" s="19"/>
      <c r="E94" s="19"/>
      <c r="F94" s="19"/>
      <c r="G94" s="19"/>
      <c r="H94" s="18"/>
      <c r="I94" s="18" t="str">
        <f t="shared" ca="1" si="3"/>
        <v/>
      </c>
      <c r="J94" s="19" t="str">
        <f t="shared" ca="1" si="0"/>
        <v/>
      </c>
      <c r="K94" s="19" t="str">
        <f t="shared" ref="K94:P94" ca="1" si="93">IFERROR(__xludf.DUMMYFUNCTION("iferror(lower(regexreplace(substitute(trim(if(B94="""",""empty"",B94)),"" "",""_""),""[^A-Za-z0-9_]"","""")))"),"empty")</f>
        <v>empty</v>
      </c>
      <c r="L94" s="19" t="str">
        <f t="shared" ca="1" si="93"/>
        <v>empty</v>
      </c>
      <c r="M94" s="19" t="str">
        <f t="shared" ca="1" si="93"/>
        <v>empty</v>
      </c>
      <c r="N94" s="19" t="str">
        <f t="shared" ca="1" si="93"/>
        <v>empty</v>
      </c>
      <c r="O94" s="19" t="str">
        <f t="shared" ca="1" si="93"/>
        <v>empty</v>
      </c>
      <c r="P94" s="19" t="str">
        <f t="shared" ca="1" si="93"/>
        <v>empty</v>
      </c>
      <c r="Q94" s="15" t="str">
        <f t="shared" ca="1" si="2"/>
        <v>www.looney.com</v>
      </c>
    </row>
    <row r="95" spans="1:17" ht="15.75" customHeight="1" x14ac:dyDescent="0.25">
      <c r="A95" s="19"/>
      <c r="B95" s="19"/>
      <c r="C95" s="19"/>
      <c r="D95" s="19"/>
      <c r="E95" s="19"/>
      <c r="F95" s="19"/>
      <c r="G95" s="19"/>
      <c r="H95" s="18"/>
      <c r="I95" s="18" t="str">
        <f t="shared" ca="1" si="3"/>
        <v/>
      </c>
      <c r="J95" s="19" t="str">
        <f t="shared" ca="1" si="0"/>
        <v/>
      </c>
      <c r="K95" s="19" t="str">
        <f t="shared" ref="K95:P95" ca="1" si="94">IFERROR(__xludf.DUMMYFUNCTION("iferror(lower(regexreplace(substitute(trim(if(B95="""",""empty"",B95)),"" "",""_""),""[^A-Za-z0-9_]"","""")))"),"empty")</f>
        <v>empty</v>
      </c>
      <c r="L95" s="19" t="str">
        <f t="shared" ca="1" si="94"/>
        <v>empty</v>
      </c>
      <c r="M95" s="19" t="str">
        <f t="shared" ca="1" si="94"/>
        <v>empty</v>
      </c>
      <c r="N95" s="19" t="str">
        <f t="shared" ca="1" si="94"/>
        <v>empty</v>
      </c>
      <c r="O95" s="19" t="str">
        <f t="shared" ca="1" si="94"/>
        <v>empty</v>
      </c>
      <c r="P95" s="19" t="str">
        <f t="shared" ca="1" si="94"/>
        <v>empty</v>
      </c>
      <c r="Q95" s="15" t="str">
        <f t="shared" ca="1" si="2"/>
        <v>www.looney.com</v>
      </c>
    </row>
    <row r="96" spans="1:17" ht="15.75" customHeight="1" x14ac:dyDescent="0.25">
      <c r="A96" s="19"/>
      <c r="B96" s="19"/>
      <c r="C96" s="19"/>
      <c r="D96" s="19"/>
      <c r="E96" s="19"/>
      <c r="F96" s="19"/>
      <c r="G96" s="19"/>
      <c r="H96" s="18"/>
      <c r="I96" s="18" t="str">
        <f t="shared" ca="1" si="3"/>
        <v/>
      </c>
      <c r="J96" s="19" t="str">
        <f t="shared" ca="1" si="0"/>
        <v/>
      </c>
      <c r="K96" s="19" t="str">
        <f t="shared" ref="K96:P96" ca="1" si="95">IFERROR(__xludf.DUMMYFUNCTION("iferror(lower(regexreplace(substitute(trim(if(B96="""",""empty"",B96)),"" "",""_""),""[^A-Za-z0-9_]"","""")))"),"empty")</f>
        <v>empty</v>
      </c>
      <c r="L96" s="19" t="str">
        <f t="shared" ca="1" si="95"/>
        <v>empty</v>
      </c>
      <c r="M96" s="19" t="str">
        <f t="shared" ca="1" si="95"/>
        <v>empty</v>
      </c>
      <c r="N96" s="19" t="str">
        <f t="shared" ca="1" si="95"/>
        <v>empty</v>
      </c>
      <c r="O96" s="19" t="str">
        <f t="shared" ca="1" si="95"/>
        <v>empty</v>
      </c>
      <c r="P96" s="19" t="str">
        <f t="shared" ca="1" si="95"/>
        <v>empty</v>
      </c>
      <c r="Q96" s="15" t="str">
        <f t="shared" ca="1" si="2"/>
        <v>www.looney.com</v>
      </c>
    </row>
    <row r="97" spans="1:17" ht="15.75" customHeight="1" x14ac:dyDescent="0.25">
      <c r="A97" s="19"/>
      <c r="B97" s="19"/>
      <c r="C97" s="19"/>
      <c r="D97" s="19"/>
      <c r="E97" s="19"/>
      <c r="F97" s="19"/>
      <c r="G97" s="19"/>
      <c r="H97" s="18"/>
      <c r="I97" s="18" t="str">
        <f t="shared" ca="1" si="3"/>
        <v/>
      </c>
      <c r="J97" s="19" t="str">
        <f t="shared" ca="1" si="0"/>
        <v/>
      </c>
      <c r="K97" s="19" t="str">
        <f t="shared" ref="K97:P97" ca="1" si="96">IFERROR(__xludf.DUMMYFUNCTION("iferror(lower(regexreplace(substitute(trim(if(B97="""",""empty"",B97)),"" "",""_""),""[^A-Za-z0-9_]"","""")))"),"empty")</f>
        <v>empty</v>
      </c>
      <c r="L97" s="19" t="str">
        <f t="shared" ca="1" si="96"/>
        <v>empty</v>
      </c>
      <c r="M97" s="19" t="str">
        <f t="shared" ca="1" si="96"/>
        <v>empty</v>
      </c>
      <c r="N97" s="19" t="str">
        <f t="shared" ca="1" si="96"/>
        <v>empty</v>
      </c>
      <c r="O97" s="19" t="str">
        <f t="shared" ca="1" si="96"/>
        <v>empty</v>
      </c>
      <c r="P97" s="19" t="str">
        <f t="shared" ca="1" si="96"/>
        <v>empty</v>
      </c>
      <c r="Q97" s="15" t="str">
        <f t="shared" ca="1" si="2"/>
        <v>www.looney.com</v>
      </c>
    </row>
    <row r="98" spans="1:17" ht="15.75" customHeight="1" x14ac:dyDescent="0.25">
      <c r="A98" s="19"/>
      <c r="B98" s="19"/>
      <c r="C98" s="19"/>
      <c r="D98" s="19"/>
      <c r="E98" s="19"/>
      <c r="F98" s="19"/>
      <c r="G98" s="19"/>
      <c r="H98" s="18"/>
      <c r="I98" s="18" t="str">
        <f t="shared" ca="1" si="3"/>
        <v/>
      </c>
      <c r="J98" s="19" t="str">
        <f t="shared" ca="1" si="0"/>
        <v/>
      </c>
      <c r="K98" s="19" t="str">
        <f t="shared" ref="K98:P98" ca="1" si="97">IFERROR(__xludf.DUMMYFUNCTION("iferror(lower(regexreplace(substitute(trim(if(B98="""",""empty"",B98)),"" "",""_""),""[^A-Za-z0-9_]"","""")))"),"empty")</f>
        <v>empty</v>
      </c>
      <c r="L98" s="19" t="str">
        <f t="shared" ca="1" si="97"/>
        <v>empty</v>
      </c>
      <c r="M98" s="19" t="str">
        <f t="shared" ca="1" si="97"/>
        <v>empty</v>
      </c>
      <c r="N98" s="19" t="str">
        <f t="shared" ca="1" si="97"/>
        <v>empty</v>
      </c>
      <c r="O98" s="19" t="str">
        <f t="shared" ca="1" si="97"/>
        <v>empty</v>
      </c>
      <c r="P98" s="19" t="str">
        <f t="shared" ca="1" si="97"/>
        <v>empty</v>
      </c>
      <c r="Q98" s="15" t="str">
        <f t="shared" ca="1" si="2"/>
        <v>www.looney.com</v>
      </c>
    </row>
    <row r="99" spans="1:17" ht="15.75" customHeight="1" x14ac:dyDescent="0.25">
      <c r="A99" s="19"/>
      <c r="B99" s="19"/>
      <c r="C99" s="19"/>
      <c r="D99" s="19"/>
      <c r="E99" s="19"/>
      <c r="F99" s="19"/>
      <c r="G99" s="19"/>
      <c r="H99" s="18"/>
      <c r="I99" s="18" t="str">
        <f t="shared" ca="1" si="3"/>
        <v/>
      </c>
      <c r="J99" s="19" t="str">
        <f t="shared" ca="1" si="0"/>
        <v/>
      </c>
      <c r="K99" s="19" t="str">
        <f t="shared" ref="K99:P99" ca="1" si="98">IFERROR(__xludf.DUMMYFUNCTION("iferror(lower(regexreplace(substitute(trim(if(B99="""",""empty"",B99)),"" "",""_""),""[^A-Za-z0-9_]"","""")))"),"empty")</f>
        <v>empty</v>
      </c>
      <c r="L99" s="19" t="str">
        <f t="shared" ca="1" si="98"/>
        <v>empty</v>
      </c>
      <c r="M99" s="19" t="str">
        <f t="shared" ca="1" si="98"/>
        <v>empty</v>
      </c>
      <c r="N99" s="19" t="str">
        <f t="shared" ca="1" si="98"/>
        <v>empty</v>
      </c>
      <c r="O99" s="19" t="str">
        <f t="shared" ca="1" si="98"/>
        <v>empty</v>
      </c>
      <c r="P99" s="19" t="str">
        <f t="shared" ca="1" si="98"/>
        <v>empty</v>
      </c>
      <c r="Q99" s="15" t="str">
        <f t="shared" ca="1" si="2"/>
        <v>www.looney.com</v>
      </c>
    </row>
    <row r="100" spans="1:17" ht="15.75" customHeight="1" x14ac:dyDescent="0.25">
      <c r="A100" s="19"/>
      <c r="B100" s="19"/>
      <c r="C100" s="19"/>
      <c r="D100" s="19"/>
      <c r="E100" s="19"/>
      <c r="F100" s="19"/>
      <c r="G100" s="19"/>
      <c r="H100" s="18"/>
      <c r="I100" s="18" t="str">
        <f t="shared" ca="1" si="3"/>
        <v/>
      </c>
      <c r="J100" s="19" t="str">
        <f t="shared" ca="1" si="0"/>
        <v/>
      </c>
      <c r="K100" s="19" t="str">
        <f t="shared" ref="K100:P100" ca="1" si="99">IFERROR(__xludf.DUMMYFUNCTION("iferror(lower(regexreplace(substitute(trim(if(B100="""",""empty"",B100)),"" "",""_""),""[^A-Za-z0-9_]"","""")))"),"empty")</f>
        <v>empty</v>
      </c>
      <c r="L100" s="19" t="str">
        <f t="shared" ca="1" si="99"/>
        <v>empty</v>
      </c>
      <c r="M100" s="19" t="str">
        <f t="shared" ca="1" si="99"/>
        <v>empty</v>
      </c>
      <c r="N100" s="19" t="str">
        <f t="shared" ca="1" si="99"/>
        <v>empty</v>
      </c>
      <c r="O100" s="19" t="str">
        <f t="shared" ca="1" si="99"/>
        <v>empty</v>
      </c>
      <c r="P100" s="19" t="str">
        <f t="shared" ca="1" si="99"/>
        <v>empty</v>
      </c>
      <c r="Q100" s="15" t="str">
        <f t="shared" ca="1" si="2"/>
        <v>www.looney.com</v>
      </c>
    </row>
    <row r="101" spans="1:17" ht="15.75" customHeight="1" x14ac:dyDescent="0.25">
      <c r="A101" s="19"/>
      <c r="B101" s="19"/>
      <c r="C101" s="19"/>
      <c r="D101" s="19"/>
      <c r="E101" s="19"/>
      <c r="F101" s="19"/>
      <c r="G101" s="19"/>
      <c r="H101" s="18"/>
      <c r="I101" s="18" t="str">
        <f t="shared" ca="1" si="3"/>
        <v/>
      </c>
      <c r="J101" s="19" t="str">
        <f t="shared" ca="1" si="0"/>
        <v/>
      </c>
      <c r="K101" s="19" t="str">
        <f t="shared" ref="K101:P101" ca="1" si="100">IFERROR(__xludf.DUMMYFUNCTION("iferror(lower(regexreplace(substitute(trim(if(B101="""",""empty"",B101)),"" "",""_""),""[^A-Za-z0-9_]"","""")))"),"empty")</f>
        <v>empty</v>
      </c>
      <c r="L101" s="19" t="str">
        <f t="shared" ca="1" si="100"/>
        <v>empty</v>
      </c>
      <c r="M101" s="19" t="str">
        <f t="shared" ca="1" si="100"/>
        <v>empty</v>
      </c>
      <c r="N101" s="19" t="str">
        <f t="shared" ca="1" si="100"/>
        <v>empty</v>
      </c>
      <c r="O101" s="19" t="str">
        <f t="shared" ca="1" si="100"/>
        <v>empty</v>
      </c>
      <c r="P101" s="19" t="str">
        <f t="shared" ca="1" si="100"/>
        <v>empty</v>
      </c>
      <c r="Q101" s="15" t="str">
        <f t="shared" ca="1" si="2"/>
        <v>www.looney.com</v>
      </c>
    </row>
    <row r="102" spans="1:17" ht="15.75" customHeight="1" x14ac:dyDescent="0.25">
      <c r="A102" s="19"/>
      <c r="B102" s="19"/>
      <c r="C102" s="19"/>
      <c r="D102" s="19"/>
      <c r="E102" s="19"/>
      <c r="F102" s="19"/>
      <c r="G102" s="19"/>
      <c r="H102" s="18"/>
      <c r="I102" s="18" t="str">
        <f t="shared" ca="1" si="3"/>
        <v/>
      </c>
      <c r="J102" s="19" t="str">
        <f t="shared" ca="1" si="0"/>
        <v/>
      </c>
      <c r="K102" s="19" t="str">
        <f t="shared" ref="K102:P102" ca="1" si="101">IFERROR(__xludf.DUMMYFUNCTION("iferror(lower(regexreplace(substitute(trim(if(B102="""",""empty"",B102)),"" "",""_""),""[^A-Za-z0-9_]"","""")))"),"empty")</f>
        <v>empty</v>
      </c>
      <c r="L102" s="19" t="str">
        <f t="shared" ca="1" si="101"/>
        <v>empty</v>
      </c>
      <c r="M102" s="19" t="str">
        <f t="shared" ca="1" si="101"/>
        <v>empty</v>
      </c>
      <c r="N102" s="19" t="str">
        <f t="shared" ca="1" si="101"/>
        <v>empty</v>
      </c>
      <c r="O102" s="19" t="str">
        <f t="shared" ca="1" si="101"/>
        <v>empty</v>
      </c>
      <c r="P102" s="19" t="str">
        <f t="shared" ca="1" si="101"/>
        <v>empty</v>
      </c>
      <c r="Q102" s="15" t="str">
        <f t="shared" ca="1" si="2"/>
        <v>www.looney.com</v>
      </c>
    </row>
    <row r="103" spans="1:17" ht="15.75" customHeight="1" x14ac:dyDescent="0.25">
      <c r="A103" s="19"/>
      <c r="B103" s="19"/>
      <c r="C103" s="19"/>
      <c r="D103" s="19"/>
      <c r="E103" s="19"/>
      <c r="F103" s="19"/>
      <c r="G103" s="19"/>
      <c r="H103" s="18"/>
      <c r="I103" s="18" t="str">
        <f t="shared" ca="1" si="3"/>
        <v/>
      </c>
      <c r="J103" s="19" t="str">
        <f t="shared" ca="1" si="0"/>
        <v/>
      </c>
      <c r="K103" s="19" t="str">
        <f t="shared" ref="K103:P103" ca="1" si="102">IFERROR(__xludf.DUMMYFUNCTION("iferror(lower(regexreplace(substitute(trim(if(B103="""",""empty"",B103)),"" "",""_""),""[^A-Za-z0-9_]"","""")))"),"empty")</f>
        <v>empty</v>
      </c>
      <c r="L103" s="19" t="str">
        <f t="shared" ca="1" si="102"/>
        <v>empty</v>
      </c>
      <c r="M103" s="19" t="str">
        <f t="shared" ca="1" si="102"/>
        <v>empty</v>
      </c>
      <c r="N103" s="19" t="str">
        <f t="shared" ca="1" si="102"/>
        <v>empty</v>
      </c>
      <c r="O103" s="19" t="str">
        <f t="shared" ca="1" si="102"/>
        <v>empty</v>
      </c>
      <c r="P103" s="19" t="str">
        <f t="shared" ca="1" si="102"/>
        <v>empty</v>
      </c>
      <c r="Q103" s="15" t="str">
        <f t="shared" ca="1" si="2"/>
        <v>www.looney.com</v>
      </c>
    </row>
    <row r="104" spans="1:17" ht="15.75" customHeight="1" x14ac:dyDescent="0.25">
      <c r="A104" s="19"/>
      <c r="B104" s="19"/>
      <c r="C104" s="19"/>
      <c r="D104" s="19"/>
      <c r="E104" s="19"/>
      <c r="F104" s="19"/>
      <c r="G104" s="19"/>
      <c r="H104" s="18"/>
      <c r="I104" s="18" t="str">
        <f t="shared" ca="1" si="3"/>
        <v/>
      </c>
      <c r="J104" s="19" t="str">
        <f t="shared" ca="1" si="0"/>
        <v/>
      </c>
      <c r="K104" s="19" t="str">
        <f t="shared" ref="K104:P104" ca="1" si="103">IFERROR(__xludf.DUMMYFUNCTION("iferror(lower(regexreplace(substitute(trim(if(B104="""",""empty"",B104)),"" "",""_""),""[^A-Za-z0-9_]"","""")))"),"empty")</f>
        <v>empty</v>
      </c>
      <c r="L104" s="19" t="str">
        <f t="shared" ca="1" si="103"/>
        <v>empty</v>
      </c>
      <c r="M104" s="19" t="str">
        <f t="shared" ca="1" si="103"/>
        <v>empty</v>
      </c>
      <c r="N104" s="19" t="str">
        <f t="shared" ca="1" si="103"/>
        <v>empty</v>
      </c>
      <c r="O104" s="19" t="str">
        <f t="shared" ca="1" si="103"/>
        <v>empty</v>
      </c>
      <c r="P104" s="19" t="str">
        <f t="shared" ca="1" si="103"/>
        <v>empty</v>
      </c>
      <c r="Q104" s="15" t="str">
        <f t="shared" ca="1" si="2"/>
        <v>www.looney.com</v>
      </c>
    </row>
    <row r="105" spans="1:17" ht="15.75" customHeight="1" x14ac:dyDescent="0.25">
      <c r="A105" s="19"/>
      <c r="B105" s="19"/>
      <c r="C105" s="19"/>
      <c r="D105" s="19"/>
      <c r="E105" s="19"/>
      <c r="F105" s="19"/>
      <c r="G105" s="19"/>
      <c r="H105" s="18"/>
      <c r="I105" s="18" t="str">
        <f t="shared" ca="1" si="3"/>
        <v/>
      </c>
      <c r="J105" s="19" t="str">
        <f t="shared" ca="1" si="0"/>
        <v/>
      </c>
      <c r="K105" s="19" t="str">
        <f t="shared" ref="K105:P105" ca="1" si="104">IFERROR(__xludf.DUMMYFUNCTION("iferror(lower(regexreplace(substitute(trim(if(B105="""",""empty"",B105)),"" "",""_""),""[^A-Za-z0-9_]"","""")))"),"empty")</f>
        <v>empty</v>
      </c>
      <c r="L105" s="19" t="str">
        <f t="shared" ca="1" si="104"/>
        <v>empty</v>
      </c>
      <c r="M105" s="19" t="str">
        <f t="shared" ca="1" si="104"/>
        <v>empty</v>
      </c>
      <c r="N105" s="19" t="str">
        <f t="shared" ca="1" si="104"/>
        <v>empty</v>
      </c>
      <c r="O105" s="19" t="str">
        <f t="shared" ca="1" si="104"/>
        <v>empty</v>
      </c>
      <c r="P105" s="19" t="str">
        <f t="shared" ca="1" si="104"/>
        <v>empty</v>
      </c>
      <c r="Q105" s="15" t="str">
        <f t="shared" ca="1" si="2"/>
        <v>www.looney.com</v>
      </c>
    </row>
    <row r="106" spans="1:17" ht="15.75" customHeight="1" x14ac:dyDescent="0.25">
      <c r="A106" s="19"/>
      <c r="B106" s="19"/>
      <c r="C106" s="19"/>
      <c r="D106" s="19"/>
      <c r="E106" s="19"/>
      <c r="F106" s="19"/>
      <c r="G106" s="19"/>
      <c r="H106" s="18"/>
      <c r="I106" s="18" t="str">
        <f t="shared" ca="1" si="3"/>
        <v/>
      </c>
      <c r="J106" s="19" t="str">
        <f t="shared" ca="1" si="0"/>
        <v/>
      </c>
      <c r="K106" s="19" t="str">
        <f t="shared" ref="K106:P106" ca="1" si="105">IFERROR(__xludf.DUMMYFUNCTION("iferror(lower(regexreplace(substitute(trim(if(B106="""",""empty"",B106)),"" "",""_""),""[^A-Za-z0-9_]"","""")))"),"empty")</f>
        <v>empty</v>
      </c>
      <c r="L106" s="19" t="str">
        <f t="shared" ca="1" si="105"/>
        <v>empty</v>
      </c>
      <c r="M106" s="19" t="str">
        <f t="shared" ca="1" si="105"/>
        <v>empty</v>
      </c>
      <c r="N106" s="19" t="str">
        <f t="shared" ca="1" si="105"/>
        <v>empty</v>
      </c>
      <c r="O106" s="19" t="str">
        <f t="shared" ca="1" si="105"/>
        <v>empty</v>
      </c>
      <c r="P106" s="19" t="str">
        <f t="shared" ca="1" si="105"/>
        <v>empty</v>
      </c>
      <c r="Q106" s="15" t="str">
        <f t="shared" ca="1" si="2"/>
        <v>www.looney.com</v>
      </c>
    </row>
    <row r="107" spans="1:17" ht="15.75" customHeight="1" x14ac:dyDescent="0.25">
      <c r="A107" s="19"/>
      <c r="B107" s="19"/>
      <c r="C107" s="19"/>
      <c r="D107" s="19"/>
      <c r="E107" s="19"/>
      <c r="F107" s="19"/>
      <c r="G107" s="19"/>
      <c r="H107" s="18"/>
      <c r="I107" s="18" t="str">
        <f t="shared" ca="1" si="3"/>
        <v/>
      </c>
      <c r="J107" s="19" t="str">
        <f t="shared" ca="1" si="0"/>
        <v/>
      </c>
      <c r="K107" s="19" t="str">
        <f t="shared" ref="K107:P107" ca="1" si="106">IFERROR(__xludf.DUMMYFUNCTION("iferror(lower(regexreplace(substitute(trim(if(B107="""",""empty"",B107)),"" "",""_""),""[^A-Za-z0-9_]"","""")))"),"empty")</f>
        <v>empty</v>
      </c>
      <c r="L107" s="19" t="str">
        <f t="shared" ca="1" si="106"/>
        <v>empty</v>
      </c>
      <c r="M107" s="19" t="str">
        <f t="shared" ca="1" si="106"/>
        <v>empty</v>
      </c>
      <c r="N107" s="19" t="str">
        <f t="shared" ca="1" si="106"/>
        <v>empty</v>
      </c>
      <c r="O107" s="19" t="str">
        <f t="shared" ca="1" si="106"/>
        <v>empty</v>
      </c>
      <c r="P107" s="19" t="str">
        <f t="shared" ca="1" si="106"/>
        <v>empty</v>
      </c>
      <c r="Q107" s="15" t="str">
        <f t="shared" ca="1" si="2"/>
        <v>www.looney.com</v>
      </c>
    </row>
    <row r="108" spans="1:17" ht="15.75" customHeight="1" x14ac:dyDescent="0.25">
      <c r="A108" s="19"/>
      <c r="B108" s="19"/>
      <c r="C108" s="19"/>
      <c r="D108" s="19"/>
      <c r="E108" s="19"/>
      <c r="F108" s="19"/>
      <c r="G108" s="19"/>
      <c r="H108" s="18"/>
      <c r="I108" s="18" t="str">
        <f t="shared" ca="1" si="3"/>
        <v/>
      </c>
      <c r="J108" s="19" t="str">
        <f t="shared" ca="1" si="0"/>
        <v/>
      </c>
      <c r="K108" s="19" t="str">
        <f t="shared" ref="K108:P108" ca="1" si="107">IFERROR(__xludf.DUMMYFUNCTION("iferror(lower(regexreplace(substitute(trim(if(B108="""",""empty"",B108)),"" "",""_""),""[^A-Za-z0-9_]"","""")))"),"empty")</f>
        <v>empty</v>
      </c>
      <c r="L108" s="19" t="str">
        <f t="shared" ca="1" si="107"/>
        <v>empty</v>
      </c>
      <c r="M108" s="19" t="str">
        <f t="shared" ca="1" si="107"/>
        <v>empty</v>
      </c>
      <c r="N108" s="19" t="str">
        <f t="shared" ca="1" si="107"/>
        <v>empty</v>
      </c>
      <c r="O108" s="19" t="str">
        <f t="shared" ca="1" si="107"/>
        <v>empty</v>
      </c>
      <c r="P108" s="19" t="str">
        <f t="shared" ca="1" si="107"/>
        <v>empty</v>
      </c>
      <c r="Q108" s="15" t="str">
        <f t="shared" ca="1" si="2"/>
        <v>www.looney.com</v>
      </c>
    </row>
    <row r="109" spans="1:17" ht="15.75" customHeight="1" x14ac:dyDescent="0.25">
      <c r="A109" s="19"/>
      <c r="B109" s="19"/>
      <c r="C109" s="19"/>
      <c r="D109" s="19"/>
      <c r="E109" s="19"/>
      <c r="F109" s="19"/>
      <c r="G109" s="19"/>
      <c r="H109" s="18"/>
      <c r="I109" s="18" t="str">
        <f t="shared" ca="1" si="3"/>
        <v/>
      </c>
      <c r="J109" s="19" t="str">
        <f t="shared" ca="1" si="0"/>
        <v/>
      </c>
      <c r="K109" s="19" t="str">
        <f t="shared" ref="K109:P109" ca="1" si="108">IFERROR(__xludf.DUMMYFUNCTION("iferror(lower(regexreplace(substitute(trim(if(B109="""",""empty"",B109)),"" "",""_""),""[^A-Za-z0-9_]"","""")))"),"empty")</f>
        <v>empty</v>
      </c>
      <c r="L109" s="19" t="str">
        <f t="shared" ca="1" si="108"/>
        <v>empty</v>
      </c>
      <c r="M109" s="19" t="str">
        <f t="shared" ca="1" si="108"/>
        <v>empty</v>
      </c>
      <c r="N109" s="19" t="str">
        <f t="shared" ca="1" si="108"/>
        <v>empty</v>
      </c>
      <c r="O109" s="19" t="str">
        <f t="shared" ca="1" si="108"/>
        <v>empty</v>
      </c>
      <c r="P109" s="19" t="str">
        <f t="shared" ca="1" si="108"/>
        <v>empty</v>
      </c>
      <c r="Q109" s="15" t="str">
        <f t="shared" ca="1" si="2"/>
        <v>www.looney.com</v>
      </c>
    </row>
    <row r="110" spans="1:17" ht="15.75" customHeight="1" x14ac:dyDescent="0.25">
      <c r="A110" s="19"/>
      <c r="B110" s="19"/>
      <c r="C110" s="19"/>
      <c r="D110" s="19"/>
      <c r="E110" s="19"/>
      <c r="F110" s="19"/>
      <c r="G110" s="19"/>
      <c r="H110" s="18"/>
      <c r="I110" s="18" t="str">
        <f t="shared" ca="1" si="3"/>
        <v/>
      </c>
      <c r="J110" s="19" t="str">
        <f t="shared" ca="1" si="0"/>
        <v/>
      </c>
      <c r="K110" s="19" t="str">
        <f t="shared" ref="K110:P110" ca="1" si="109">IFERROR(__xludf.DUMMYFUNCTION("iferror(lower(regexreplace(substitute(trim(if(B110="""",""empty"",B110)),"" "",""_""),""[^A-Za-z0-9_]"","""")))"),"empty")</f>
        <v>empty</v>
      </c>
      <c r="L110" s="19" t="str">
        <f t="shared" ca="1" si="109"/>
        <v>empty</v>
      </c>
      <c r="M110" s="19" t="str">
        <f t="shared" ca="1" si="109"/>
        <v>empty</v>
      </c>
      <c r="N110" s="19" t="str">
        <f t="shared" ca="1" si="109"/>
        <v>empty</v>
      </c>
      <c r="O110" s="19" t="str">
        <f t="shared" ca="1" si="109"/>
        <v>empty</v>
      </c>
      <c r="P110" s="19" t="str">
        <f t="shared" ca="1" si="109"/>
        <v>empty</v>
      </c>
      <c r="Q110" s="15" t="str">
        <f t="shared" ca="1" si="2"/>
        <v>www.looney.com</v>
      </c>
    </row>
    <row r="111" spans="1:17" ht="15.75" customHeight="1" x14ac:dyDescent="0.25">
      <c r="A111" s="19"/>
      <c r="B111" s="19"/>
      <c r="C111" s="19"/>
      <c r="D111" s="19"/>
      <c r="E111" s="19"/>
      <c r="F111" s="19"/>
      <c r="G111" s="19"/>
      <c r="H111" s="18"/>
      <c r="I111" s="18" t="str">
        <f t="shared" ca="1" si="3"/>
        <v/>
      </c>
      <c r="J111" s="19" t="str">
        <f t="shared" ca="1" si="0"/>
        <v/>
      </c>
      <c r="K111" s="19" t="str">
        <f t="shared" ref="K111:P111" ca="1" si="110">IFERROR(__xludf.DUMMYFUNCTION("iferror(lower(regexreplace(substitute(trim(if(B111="""",""empty"",B111)),"" "",""_""),""[^A-Za-z0-9_]"","""")))"),"empty")</f>
        <v>empty</v>
      </c>
      <c r="L111" s="19" t="str">
        <f t="shared" ca="1" si="110"/>
        <v>empty</v>
      </c>
      <c r="M111" s="19" t="str">
        <f t="shared" ca="1" si="110"/>
        <v>empty</v>
      </c>
      <c r="N111" s="19" t="str">
        <f t="shared" ca="1" si="110"/>
        <v>empty</v>
      </c>
      <c r="O111" s="19" t="str">
        <f t="shared" ca="1" si="110"/>
        <v>empty</v>
      </c>
      <c r="P111" s="19" t="str">
        <f t="shared" ca="1" si="110"/>
        <v>empty</v>
      </c>
      <c r="Q111" s="15" t="str">
        <f t="shared" ca="1" si="2"/>
        <v>www.looney.com</v>
      </c>
    </row>
    <row r="112" spans="1:17" ht="15.75" customHeight="1" x14ac:dyDescent="0.25">
      <c r="A112" s="19"/>
      <c r="B112" s="19"/>
      <c r="C112" s="19"/>
      <c r="D112" s="19"/>
      <c r="E112" s="19"/>
      <c r="F112" s="19"/>
      <c r="G112" s="19"/>
      <c r="H112" s="18"/>
      <c r="I112" s="18" t="str">
        <f t="shared" ca="1" si="3"/>
        <v/>
      </c>
      <c r="J112" s="19" t="str">
        <f t="shared" ca="1" si="0"/>
        <v/>
      </c>
      <c r="K112" s="19" t="str">
        <f t="shared" ref="K112:P112" ca="1" si="111">IFERROR(__xludf.DUMMYFUNCTION("iferror(lower(regexreplace(substitute(trim(if(B112="""",""empty"",B112)),"" "",""_""),""[^A-Za-z0-9_]"","""")))"),"empty")</f>
        <v>empty</v>
      </c>
      <c r="L112" s="19" t="str">
        <f t="shared" ca="1" si="111"/>
        <v>empty</v>
      </c>
      <c r="M112" s="19" t="str">
        <f t="shared" ca="1" si="111"/>
        <v>empty</v>
      </c>
      <c r="N112" s="19" t="str">
        <f t="shared" ca="1" si="111"/>
        <v>empty</v>
      </c>
      <c r="O112" s="19" t="str">
        <f t="shared" ca="1" si="111"/>
        <v>empty</v>
      </c>
      <c r="P112" s="19" t="str">
        <f t="shared" ca="1" si="111"/>
        <v>empty</v>
      </c>
      <c r="Q112" s="15" t="str">
        <f t="shared" ca="1" si="2"/>
        <v>www.looney.com</v>
      </c>
    </row>
    <row r="113" spans="1:17" ht="15.75" customHeight="1" x14ac:dyDescent="0.25">
      <c r="A113" s="19"/>
      <c r="B113" s="19"/>
      <c r="C113" s="19"/>
      <c r="D113" s="19"/>
      <c r="E113" s="19"/>
      <c r="F113" s="19"/>
      <c r="G113" s="19"/>
      <c r="H113" s="18"/>
      <c r="I113" s="18" t="str">
        <f t="shared" ca="1" si="3"/>
        <v/>
      </c>
      <c r="J113" s="19" t="str">
        <f t="shared" ca="1" si="0"/>
        <v/>
      </c>
      <c r="K113" s="19" t="str">
        <f t="shared" ref="K113:P113" ca="1" si="112">IFERROR(__xludf.DUMMYFUNCTION("iferror(lower(regexreplace(substitute(trim(if(B113="""",""empty"",B113)),"" "",""_""),""[^A-Za-z0-9_]"","""")))"),"empty")</f>
        <v>empty</v>
      </c>
      <c r="L113" s="19" t="str">
        <f t="shared" ca="1" si="112"/>
        <v>empty</v>
      </c>
      <c r="M113" s="19" t="str">
        <f t="shared" ca="1" si="112"/>
        <v>empty</v>
      </c>
      <c r="N113" s="19" t="str">
        <f t="shared" ca="1" si="112"/>
        <v>empty</v>
      </c>
      <c r="O113" s="19" t="str">
        <f t="shared" ca="1" si="112"/>
        <v>empty</v>
      </c>
      <c r="P113" s="19" t="str">
        <f t="shared" ca="1" si="112"/>
        <v>empty</v>
      </c>
      <c r="Q113" s="15" t="str">
        <f t="shared" ca="1" si="2"/>
        <v>www.looney.com</v>
      </c>
    </row>
    <row r="114" spans="1:17" ht="15.75" customHeight="1" x14ac:dyDescent="0.25">
      <c r="A114" s="19"/>
      <c r="B114" s="19"/>
      <c r="C114" s="19"/>
      <c r="D114" s="19"/>
      <c r="E114" s="19"/>
      <c r="F114" s="19"/>
      <c r="G114" s="19"/>
      <c r="H114" s="18"/>
      <c r="I114" s="18" t="str">
        <f t="shared" ca="1" si="3"/>
        <v/>
      </c>
      <c r="J114" s="19" t="str">
        <f t="shared" ca="1" si="0"/>
        <v/>
      </c>
      <c r="K114" s="19" t="str">
        <f t="shared" ref="K114:P114" ca="1" si="113">IFERROR(__xludf.DUMMYFUNCTION("iferror(lower(regexreplace(substitute(trim(if(B114="""",""empty"",B114)),"" "",""_""),""[^A-Za-z0-9_]"","""")))"),"empty")</f>
        <v>empty</v>
      </c>
      <c r="L114" s="19" t="str">
        <f t="shared" ca="1" si="113"/>
        <v>empty</v>
      </c>
      <c r="M114" s="19" t="str">
        <f t="shared" ca="1" si="113"/>
        <v>empty</v>
      </c>
      <c r="N114" s="19" t="str">
        <f t="shared" ca="1" si="113"/>
        <v>empty</v>
      </c>
      <c r="O114" s="19" t="str">
        <f t="shared" ca="1" si="113"/>
        <v>empty</v>
      </c>
      <c r="P114" s="19" t="str">
        <f t="shared" ca="1" si="113"/>
        <v>empty</v>
      </c>
      <c r="Q114" s="15" t="str">
        <f t="shared" ca="1" si="2"/>
        <v>www.looney.com</v>
      </c>
    </row>
    <row r="115" spans="1:17" ht="15.75" customHeight="1" x14ac:dyDescent="0.25">
      <c r="A115" s="19"/>
      <c r="B115" s="19"/>
      <c r="C115" s="19"/>
      <c r="D115" s="19"/>
      <c r="E115" s="19"/>
      <c r="F115" s="19"/>
      <c r="G115" s="19"/>
      <c r="H115" s="18"/>
      <c r="I115" s="18" t="str">
        <f t="shared" ca="1" si="3"/>
        <v/>
      </c>
      <c r="J115" s="19" t="str">
        <f t="shared" ca="1" si="0"/>
        <v/>
      </c>
      <c r="K115" s="19" t="str">
        <f t="shared" ref="K115:P115" ca="1" si="114">IFERROR(__xludf.DUMMYFUNCTION("iferror(lower(regexreplace(substitute(trim(if(B115="""",""empty"",B115)),"" "",""_""),""[^A-Za-z0-9_]"","""")))"),"empty")</f>
        <v>empty</v>
      </c>
      <c r="L115" s="19" t="str">
        <f t="shared" ca="1" si="114"/>
        <v>empty</v>
      </c>
      <c r="M115" s="19" t="str">
        <f t="shared" ca="1" si="114"/>
        <v>empty</v>
      </c>
      <c r="N115" s="19" t="str">
        <f t="shared" ca="1" si="114"/>
        <v>empty</v>
      </c>
      <c r="O115" s="19" t="str">
        <f t="shared" ca="1" si="114"/>
        <v>empty</v>
      </c>
      <c r="P115" s="19" t="str">
        <f t="shared" ca="1" si="114"/>
        <v>empty</v>
      </c>
      <c r="Q115" s="15" t="str">
        <f t="shared" ca="1" si="2"/>
        <v>www.looney.com</v>
      </c>
    </row>
    <row r="116" spans="1:17" ht="15.75" customHeight="1" x14ac:dyDescent="0.25">
      <c r="A116" s="19"/>
      <c r="B116" s="19"/>
      <c r="C116" s="19"/>
      <c r="D116" s="19"/>
      <c r="E116" s="19"/>
      <c r="F116" s="19"/>
      <c r="G116" s="19"/>
      <c r="H116" s="18"/>
      <c r="I116" s="18" t="str">
        <f t="shared" ca="1" si="3"/>
        <v/>
      </c>
      <c r="J116" s="19" t="str">
        <f t="shared" ca="1" si="0"/>
        <v/>
      </c>
      <c r="K116" s="19" t="str">
        <f t="shared" ref="K116:P116" ca="1" si="115">IFERROR(__xludf.DUMMYFUNCTION("iferror(lower(regexreplace(substitute(trim(if(B116="""",""empty"",B116)),"" "",""_""),""[^A-Za-z0-9_]"","""")))"),"empty")</f>
        <v>empty</v>
      </c>
      <c r="L116" s="19" t="str">
        <f t="shared" ca="1" si="115"/>
        <v>empty</v>
      </c>
      <c r="M116" s="19" t="str">
        <f t="shared" ca="1" si="115"/>
        <v>empty</v>
      </c>
      <c r="N116" s="19" t="str">
        <f t="shared" ca="1" si="115"/>
        <v>empty</v>
      </c>
      <c r="O116" s="19" t="str">
        <f t="shared" ca="1" si="115"/>
        <v>empty</v>
      </c>
      <c r="P116" s="19" t="str">
        <f t="shared" ca="1" si="115"/>
        <v>empty</v>
      </c>
      <c r="Q116" s="15" t="str">
        <f t="shared" ca="1" si="2"/>
        <v>www.looney.com</v>
      </c>
    </row>
    <row r="117" spans="1:17" ht="15.75" customHeight="1" x14ac:dyDescent="0.25">
      <c r="A117" s="19"/>
      <c r="B117" s="19"/>
      <c r="C117" s="19"/>
      <c r="D117" s="19"/>
      <c r="E117" s="19"/>
      <c r="F117" s="19"/>
      <c r="G117" s="19"/>
      <c r="H117" s="18"/>
      <c r="I117" s="18" t="str">
        <f t="shared" ca="1" si="3"/>
        <v/>
      </c>
      <c r="J117" s="19" t="str">
        <f t="shared" ca="1" si="0"/>
        <v/>
      </c>
      <c r="K117" s="19" t="str">
        <f t="shared" ref="K117:P117" ca="1" si="116">IFERROR(__xludf.DUMMYFUNCTION("iferror(lower(regexreplace(substitute(trim(if(B117="""",""empty"",B117)),"" "",""_""),""[^A-Za-z0-9_]"","""")))"),"empty")</f>
        <v>empty</v>
      </c>
      <c r="L117" s="19" t="str">
        <f t="shared" ca="1" si="116"/>
        <v>empty</v>
      </c>
      <c r="M117" s="19" t="str">
        <f t="shared" ca="1" si="116"/>
        <v>empty</v>
      </c>
      <c r="N117" s="19" t="str">
        <f t="shared" ca="1" si="116"/>
        <v>empty</v>
      </c>
      <c r="O117" s="19" t="str">
        <f t="shared" ca="1" si="116"/>
        <v>empty</v>
      </c>
      <c r="P117" s="19" t="str">
        <f t="shared" ca="1" si="116"/>
        <v>empty</v>
      </c>
      <c r="Q117" s="15" t="str">
        <f t="shared" ca="1" si="2"/>
        <v>www.looney.com</v>
      </c>
    </row>
    <row r="118" spans="1:17" ht="15.75" customHeight="1" x14ac:dyDescent="0.25">
      <c r="A118" s="19"/>
      <c r="B118" s="19"/>
      <c r="C118" s="19"/>
      <c r="D118" s="19"/>
      <c r="E118" s="19"/>
      <c r="F118" s="19"/>
      <c r="G118" s="19"/>
      <c r="H118" s="18"/>
      <c r="I118" s="18" t="str">
        <f t="shared" ca="1" si="3"/>
        <v/>
      </c>
      <c r="J118" s="19" t="str">
        <f t="shared" ca="1" si="0"/>
        <v/>
      </c>
      <c r="K118" s="19" t="str">
        <f t="shared" ref="K118:P118" ca="1" si="117">IFERROR(__xludf.DUMMYFUNCTION("iferror(lower(regexreplace(substitute(trim(if(B118="""",""empty"",B118)),"" "",""_""),""[^A-Za-z0-9_]"","""")))"),"empty")</f>
        <v>empty</v>
      </c>
      <c r="L118" s="19" t="str">
        <f t="shared" ca="1" si="117"/>
        <v>empty</v>
      </c>
      <c r="M118" s="19" t="str">
        <f t="shared" ca="1" si="117"/>
        <v>empty</v>
      </c>
      <c r="N118" s="19" t="str">
        <f t="shared" ca="1" si="117"/>
        <v>empty</v>
      </c>
      <c r="O118" s="19" t="str">
        <f t="shared" ca="1" si="117"/>
        <v>empty</v>
      </c>
      <c r="P118" s="19" t="str">
        <f t="shared" ca="1" si="117"/>
        <v>empty</v>
      </c>
      <c r="Q118" s="15" t="str">
        <f t="shared" ca="1" si="2"/>
        <v>www.looney.com</v>
      </c>
    </row>
    <row r="119" spans="1:17" ht="15.75" customHeight="1" x14ac:dyDescent="0.25">
      <c r="A119" s="19"/>
      <c r="B119" s="19"/>
      <c r="C119" s="19"/>
      <c r="D119" s="19"/>
      <c r="E119" s="19"/>
      <c r="F119" s="19"/>
      <c r="G119" s="19"/>
      <c r="H119" s="18"/>
      <c r="I119" s="18" t="str">
        <f t="shared" ca="1" si="3"/>
        <v/>
      </c>
      <c r="J119" s="19" t="str">
        <f t="shared" ca="1" si="0"/>
        <v/>
      </c>
      <c r="K119" s="19" t="str">
        <f t="shared" ref="K119:P119" ca="1" si="118">IFERROR(__xludf.DUMMYFUNCTION("iferror(lower(regexreplace(substitute(trim(if(B119="""",""empty"",B119)),"" "",""_""),""[^A-Za-z0-9_]"","""")))"),"empty")</f>
        <v>empty</v>
      </c>
      <c r="L119" s="19" t="str">
        <f t="shared" ca="1" si="118"/>
        <v>empty</v>
      </c>
      <c r="M119" s="19" t="str">
        <f t="shared" ca="1" si="118"/>
        <v>empty</v>
      </c>
      <c r="N119" s="19" t="str">
        <f t="shared" ca="1" si="118"/>
        <v>empty</v>
      </c>
      <c r="O119" s="19" t="str">
        <f t="shared" ca="1" si="118"/>
        <v>empty</v>
      </c>
      <c r="P119" s="19" t="str">
        <f t="shared" ca="1" si="118"/>
        <v>empty</v>
      </c>
      <c r="Q119" s="15" t="str">
        <f t="shared" ca="1" si="2"/>
        <v>www.looney.com</v>
      </c>
    </row>
    <row r="120" spans="1:17" ht="15.75" customHeight="1" x14ac:dyDescent="0.25">
      <c r="A120" s="19"/>
      <c r="B120" s="19"/>
      <c r="C120" s="19"/>
      <c r="D120" s="19"/>
      <c r="E120" s="19"/>
      <c r="F120" s="19"/>
      <c r="G120" s="19"/>
      <c r="H120" s="18"/>
      <c r="I120" s="18" t="str">
        <f t="shared" ca="1" si="3"/>
        <v/>
      </c>
      <c r="J120" s="19" t="str">
        <f t="shared" ca="1" si="0"/>
        <v/>
      </c>
      <c r="K120" s="19" t="str">
        <f t="shared" ref="K120:P120" ca="1" si="119">IFERROR(__xludf.DUMMYFUNCTION("iferror(lower(regexreplace(substitute(trim(if(B120="""",""empty"",B120)),"" "",""_""),""[^A-Za-z0-9_]"","""")))"),"empty")</f>
        <v>empty</v>
      </c>
      <c r="L120" s="19" t="str">
        <f t="shared" ca="1" si="119"/>
        <v>empty</v>
      </c>
      <c r="M120" s="19" t="str">
        <f t="shared" ca="1" si="119"/>
        <v>empty</v>
      </c>
      <c r="N120" s="19" t="str">
        <f t="shared" ca="1" si="119"/>
        <v>empty</v>
      </c>
      <c r="O120" s="19" t="str">
        <f t="shared" ca="1" si="119"/>
        <v>empty</v>
      </c>
      <c r="P120" s="19" t="str">
        <f t="shared" ca="1" si="119"/>
        <v>empty</v>
      </c>
      <c r="Q120" s="15" t="str">
        <f t="shared" ca="1" si="2"/>
        <v>www.looney.com</v>
      </c>
    </row>
    <row r="121" spans="1:17" ht="15.75" customHeight="1" x14ac:dyDescent="0.25">
      <c r="A121" s="19"/>
      <c r="B121" s="19"/>
      <c r="C121" s="19"/>
      <c r="D121" s="19"/>
      <c r="E121" s="19"/>
      <c r="F121" s="19"/>
      <c r="G121" s="19"/>
      <c r="H121" s="18"/>
      <c r="I121" s="18" t="str">
        <f t="shared" ca="1" si="3"/>
        <v/>
      </c>
      <c r="J121" s="19" t="str">
        <f t="shared" ca="1" si="0"/>
        <v/>
      </c>
      <c r="K121" s="19" t="str">
        <f t="shared" ref="K121:P121" ca="1" si="120">IFERROR(__xludf.DUMMYFUNCTION("iferror(lower(regexreplace(substitute(trim(if(B121="""",""empty"",B121)),"" "",""_""),""[^A-Za-z0-9_]"","""")))"),"empty")</f>
        <v>empty</v>
      </c>
      <c r="L121" s="19" t="str">
        <f t="shared" ca="1" si="120"/>
        <v>empty</v>
      </c>
      <c r="M121" s="19" t="str">
        <f t="shared" ca="1" si="120"/>
        <v>empty</v>
      </c>
      <c r="N121" s="19" t="str">
        <f t="shared" ca="1" si="120"/>
        <v>empty</v>
      </c>
      <c r="O121" s="19" t="str">
        <f t="shared" ca="1" si="120"/>
        <v>empty</v>
      </c>
      <c r="P121" s="19" t="str">
        <f t="shared" ca="1" si="120"/>
        <v>empty</v>
      </c>
      <c r="Q121" s="15" t="str">
        <f t="shared" ca="1" si="2"/>
        <v>www.looney.com</v>
      </c>
    </row>
    <row r="122" spans="1:17" ht="15.75" customHeight="1" x14ac:dyDescent="0.25">
      <c r="A122" s="19"/>
      <c r="B122" s="19"/>
      <c r="C122" s="19"/>
      <c r="D122" s="19"/>
      <c r="E122" s="19"/>
      <c r="F122" s="19"/>
      <c r="G122" s="19"/>
      <c r="H122" s="18"/>
      <c r="I122" s="18" t="str">
        <f t="shared" ca="1" si="3"/>
        <v/>
      </c>
      <c r="J122" s="19" t="str">
        <f t="shared" ca="1" si="0"/>
        <v/>
      </c>
      <c r="K122" s="19" t="str">
        <f t="shared" ref="K122:P122" ca="1" si="121">IFERROR(__xludf.DUMMYFUNCTION("iferror(lower(regexreplace(substitute(trim(if(B122="""",""empty"",B122)),"" "",""_""),""[^A-Za-z0-9_]"","""")))"),"empty")</f>
        <v>empty</v>
      </c>
      <c r="L122" s="19" t="str">
        <f t="shared" ca="1" si="121"/>
        <v>empty</v>
      </c>
      <c r="M122" s="19" t="str">
        <f t="shared" ca="1" si="121"/>
        <v>empty</v>
      </c>
      <c r="N122" s="19" t="str">
        <f t="shared" ca="1" si="121"/>
        <v>empty</v>
      </c>
      <c r="O122" s="19" t="str">
        <f t="shared" ca="1" si="121"/>
        <v>empty</v>
      </c>
      <c r="P122" s="19" t="str">
        <f t="shared" ca="1" si="121"/>
        <v>empty</v>
      </c>
      <c r="Q122" s="15" t="str">
        <f t="shared" ca="1" si="2"/>
        <v>www.looney.com</v>
      </c>
    </row>
    <row r="123" spans="1:17" ht="15.75" customHeight="1" x14ac:dyDescent="0.25">
      <c r="A123" s="19"/>
      <c r="B123" s="19"/>
      <c r="C123" s="19"/>
      <c r="D123" s="19"/>
      <c r="E123" s="19"/>
      <c r="F123" s="19"/>
      <c r="G123" s="19"/>
      <c r="H123" s="18"/>
      <c r="I123" s="18" t="str">
        <f t="shared" ca="1" si="3"/>
        <v/>
      </c>
      <c r="J123" s="19" t="str">
        <f t="shared" ca="1" si="0"/>
        <v/>
      </c>
      <c r="K123" s="19" t="str">
        <f t="shared" ref="K123:P123" ca="1" si="122">IFERROR(__xludf.DUMMYFUNCTION("iferror(lower(regexreplace(substitute(trim(if(B123="""",""empty"",B123)),"" "",""_""),""[^A-Za-z0-9_]"","""")))"),"empty")</f>
        <v>empty</v>
      </c>
      <c r="L123" s="19" t="str">
        <f t="shared" ca="1" si="122"/>
        <v>empty</v>
      </c>
      <c r="M123" s="19" t="str">
        <f t="shared" ca="1" si="122"/>
        <v>empty</v>
      </c>
      <c r="N123" s="19" t="str">
        <f t="shared" ca="1" si="122"/>
        <v>empty</v>
      </c>
      <c r="O123" s="19" t="str">
        <f t="shared" ca="1" si="122"/>
        <v>empty</v>
      </c>
      <c r="P123" s="19" t="str">
        <f t="shared" ca="1" si="122"/>
        <v>empty</v>
      </c>
      <c r="Q123" s="15" t="str">
        <f t="shared" ca="1" si="2"/>
        <v>www.looney.com</v>
      </c>
    </row>
    <row r="124" spans="1:17" ht="15.75" customHeight="1" x14ac:dyDescent="0.25">
      <c r="A124" s="19"/>
      <c r="B124" s="19"/>
      <c r="C124" s="19"/>
      <c r="D124" s="19"/>
      <c r="E124" s="19"/>
      <c r="F124" s="19"/>
      <c r="G124" s="19"/>
      <c r="H124" s="18"/>
      <c r="I124" s="18" t="str">
        <f t="shared" ca="1" si="3"/>
        <v/>
      </c>
      <c r="J124" s="19" t="str">
        <f t="shared" ca="1" si="0"/>
        <v/>
      </c>
      <c r="K124" s="19" t="str">
        <f t="shared" ref="K124:P124" ca="1" si="123">IFERROR(__xludf.DUMMYFUNCTION("iferror(lower(regexreplace(substitute(trim(if(B124="""",""empty"",B124)),"" "",""_""),""[^A-Za-z0-9_]"","""")))"),"empty")</f>
        <v>empty</v>
      </c>
      <c r="L124" s="19" t="str">
        <f t="shared" ca="1" si="123"/>
        <v>empty</v>
      </c>
      <c r="M124" s="19" t="str">
        <f t="shared" ca="1" si="123"/>
        <v>empty</v>
      </c>
      <c r="N124" s="19" t="str">
        <f t="shared" ca="1" si="123"/>
        <v>empty</v>
      </c>
      <c r="O124" s="19" t="str">
        <f t="shared" ca="1" si="123"/>
        <v>empty</v>
      </c>
      <c r="P124" s="19" t="str">
        <f t="shared" ca="1" si="123"/>
        <v>empty</v>
      </c>
      <c r="Q124" s="15" t="str">
        <f t="shared" ca="1" si="2"/>
        <v>www.looney.com</v>
      </c>
    </row>
    <row r="125" spans="1:17" ht="15.75" customHeight="1" x14ac:dyDescent="0.25">
      <c r="A125" s="19"/>
      <c r="B125" s="19"/>
      <c r="C125" s="19"/>
      <c r="D125" s="19"/>
      <c r="E125" s="19"/>
      <c r="F125" s="19"/>
      <c r="G125" s="19"/>
      <c r="H125" s="18"/>
      <c r="I125" s="18" t="str">
        <f t="shared" ca="1" si="3"/>
        <v/>
      </c>
      <c r="J125" s="19" t="str">
        <f t="shared" ca="1" si="0"/>
        <v/>
      </c>
      <c r="K125" s="19" t="str">
        <f t="shared" ref="K125:P125" ca="1" si="124">IFERROR(__xludf.DUMMYFUNCTION("iferror(lower(regexreplace(substitute(trim(if(B125="""",""empty"",B125)),"" "",""_""),""[^A-Za-z0-9_]"","""")))"),"empty")</f>
        <v>empty</v>
      </c>
      <c r="L125" s="19" t="str">
        <f t="shared" ca="1" si="124"/>
        <v>empty</v>
      </c>
      <c r="M125" s="19" t="str">
        <f t="shared" ca="1" si="124"/>
        <v>empty</v>
      </c>
      <c r="N125" s="19" t="str">
        <f t="shared" ca="1" si="124"/>
        <v>empty</v>
      </c>
      <c r="O125" s="19" t="str">
        <f t="shared" ca="1" si="124"/>
        <v>empty</v>
      </c>
      <c r="P125" s="19" t="str">
        <f t="shared" ca="1" si="124"/>
        <v>empty</v>
      </c>
      <c r="Q125" s="15" t="str">
        <f t="shared" ca="1" si="2"/>
        <v>www.looney.com</v>
      </c>
    </row>
    <row r="126" spans="1:17" ht="15.75" customHeight="1" x14ac:dyDescent="0.25">
      <c r="A126" s="19"/>
      <c r="B126" s="19"/>
      <c r="C126" s="19"/>
      <c r="D126" s="19"/>
      <c r="E126" s="19"/>
      <c r="F126" s="19"/>
      <c r="G126" s="19"/>
      <c r="H126" s="18"/>
      <c r="I126" s="18" t="str">
        <f t="shared" ca="1" si="3"/>
        <v/>
      </c>
      <c r="J126" s="19" t="str">
        <f t="shared" ca="1" si="0"/>
        <v/>
      </c>
      <c r="K126" s="19" t="str">
        <f t="shared" ref="K126:P126" ca="1" si="125">IFERROR(__xludf.DUMMYFUNCTION("iferror(lower(regexreplace(substitute(trim(if(B126="""",""empty"",B126)),"" "",""_""),""[^A-Za-z0-9_]"","""")))"),"empty")</f>
        <v>empty</v>
      </c>
      <c r="L126" s="19" t="str">
        <f t="shared" ca="1" si="125"/>
        <v>empty</v>
      </c>
      <c r="M126" s="19" t="str">
        <f t="shared" ca="1" si="125"/>
        <v>empty</v>
      </c>
      <c r="N126" s="19" t="str">
        <f t="shared" ca="1" si="125"/>
        <v>empty</v>
      </c>
      <c r="O126" s="19" t="str">
        <f t="shared" ca="1" si="125"/>
        <v>empty</v>
      </c>
      <c r="P126" s="19" t="str">
        <f t="shared" ca="1" si="125"/>
        <v>empty</v>
      </c>
      <c r="Q126" s="15" t="str">
        <f t="shared" ca="1" si="2"/>
        <v>www.looney.com</v>
      </c>
    </row>
    <row r="127" spans="1:17" ht="15.75" customHeight="1" x14ac:dyDescent="0.25">
      <c r="A127" s="19"/>
      <c r="B127" s="19"/>
      <c r="C127" s="19"/>
      <c r="D127" s="19"/>
      <c r="E127" s="19"/>
      <c r="F127" s="19"/>
      <c r="G127" s="19"/>
      <c r="H127" s="18"/>
      <c r="I127" s="18" t="str">
        <f t="shared" ca="1" si="3"/>
        <v/>
      </c>
      <c r="J127" s="19" t="str">
        <f t="shared" ca="1" si="0"/>
        <v/>
      </c>
      <c r="K127" s="19" t="str">
        <f t="shared" ref="K127:P127" ca="1" si="126">IFERROR(__xludf.DUMMYFUNCTION("iferror(lower(regexreplace(substitute(trim(if(B127="""",""empty"",B127)),"" "",""_""),""[^A-Za-z0-9_]"","""")))"),"empty")</f>
        <v>empty</v>
      </c>
      <c r="L127" s="19" t="str">
        <f t="shared" ca="1" si="126"/>
        <v>empty</v>
      </c>
      <c r="M127" s="19" t="str">
        <f t="shared" ca="1" si="126"/>
        <v>empty</v>
      </c>
      <c r="N127" s="19" t="str">
        <f t="shared" ca="1" si="126"/>
        <v>empty</v>
      </c>
      <c r="O127" s="19" t="str">
        <f t="shared" ca="1" si="126"/>
        <v>empty</v>
      </c>
      <c r="P127" s="19" t="str">
        <f t="shared" ca="1" si="126"/>
        <v>empty</v>
      </c>
      <c r="Q127" s="15" t="str">
        <f t="shared" ca="1" si="2"/>
        <v>www.looney.com</v>
      </c>
    </row>
    <row r="128" spans="1:17" ht="15.75" customHeight="1" x14ac:dyDescent="0.25">
      <c r="A128" s="19"/>
      <c r="B128" s="19"/>
      <c r="C128" s="19"/>
      <c r="D128" s="19"/>
      <c r="E128" s="19"/>
      <c r="F128" s="19"/>
      <c r="G128" s="19"/>
      <c r="H128" s="18"/>
      <c r="I128" s="18" t="str">
        <f t="shared" ca="1" si="3"/>
        <v/>
      </c>
      <c r="J128" s="19" t="str">
        <f t="shared" ca="1" si="0"/>
        <v/>
      </c>
      <c r="K128" s="19" t="str">
        <f t="shared" ref="K128:P128" ca="1" si="127">IFERROR(__xludf.DUMMYFUNCTION("iferror(lower(regexreplace(substitute(trim(if(B128="""",""empty"",B128)),"" "",""_""),""[^A-Za-z0-9_]"","""")))"),"empty")</f>
        <v>empty</v>
      </c>
      <c r="L128" s="19" t="str">
        <f t="shared" ca="1" si="127"/>
        <v>empty</v>
      </c>
      <c r="M128" s="19" t="str">
        <f t="shared" ca="1" si="127"/>
        <v>empty</v>
      </c>
      <c r="N128" s="19" t="str">
        <f t="shared" ca="1" si="127"/>
        <v>empty</v>
      </c>
      <c r="O128" s="19" t="str">
        <f t="shared" ca="1" si="127"/>
        <v>empty</v>
      </c>
      <c r="P128" s="19" t="str">
        <f t="shared" ca="1" si="127"/>
        <v>empty</v>
      </c>
      <c r="Q128" s="15" t="str">
        <f t="shared" ca="1" si="2"/>
        <v>www.looney.com</v>
      </c>
    </row>
    <row r="129" spans="1:17" ht="15.75" customHeight="1" x14ac:dyDescent="0.25">
      <c r="A129" s="19"/>
      <c r="B129" s="19"/>
      <c r="C129" s="19"/>
      <c r="D129" s="19"/>
      <c r="E129" s="19"/>
      <c r="F129" s="19"/>
      <c r="G129" s="19"/>
      <c r="H129" s="18"/>
      <c r="I129" s="18" t="str">
        <f t="shared" ca="1" si="3"/>
        <v/>
      </c>
      <c r="J129" s="19" t="str">
        <f t="shared" ca="1" si="0"/>
        <v/>
      </c>
      <c r="K129" s="19" t="str">
        <f t="shared" ref="K129:P129" ca="1" si="128">IFERROR(__xludf.DUMMYFUNCTION("iferror(lower(regexreplace(substitute(trim(if(B129="""",""empty"",B129)),"" "",""_""),""[^A-Za-z0-9_]"","""")))"),"empty")</f>
        <v>empty</v>
      </c>
      <c r="L129" s="19" t="str">
        <f t="shared" ca="1" si="128"/>
        <v>empty</v>
      </c>
      <c r="M129" s="19" t="str">
        <f t="shared" ca="1" si="128"/>
        <v>empty</v>
      </c>
      <c r="N129" s="19" t="str">
        <f t="shared" ca="1" si="128"/>
        <v>empty</v>
      </c>
      <c r="O129" s="19" t="str">
        <f t="shared" ca="1" si="128"/>
        <v>empty</v>
      </c>
      <c r="P129" s="19" t="str">
        <f t="shared" ca="1" si="128"/>
        <v>empty</v>
      </c>
      <c r="Q129" s="15" t="str">
        <f t="shared" ca="1" si="2"/>
        <v>www.looney.com</v>
      </c>
    </row>
    <row r="130" spans="1:17" ht="15.75" customHeight="1" x14ac:dyDescent="0.25">
      <c r="A130" s="19"/>
      <c r="B130" s="19"/>
      <c r="C130" s="19"/>
      <c r="D130" s="19"/>
      <c r="E130" s="19"/>
      <c r="F130" s="19"/>
      <c r="G130" s="19"/>
      <c r="H130" s="18"/>
      <c r="I130" s="18" t="str">
        <f t="shared" ca="1" si="3"/>
        <v/>
      </c>
      <c r="J130" s="19" t="str">
        <f t="shared" ca="1" si="0"/>
        <v/>
      </c>
      <c r="K130" s="19" t="str">
        <f t="shared" ref="K130:P130" ca="1" si="129">IFERROR(__xludf.DUMMYFUNCTION("iferror(lower(regexreplace(substitute(trim(if(B130="""",""empty"",B130)),"" "",""_""),""[^A-Za-z0-9_]"","""")))"),"empty")</f>
        <v>empty</v>
      </c>
      <c r="L130" s="19" t="str">
        <f t="shared" ca="1" si="129"/>
        <v>empty</v>
      </c>
      <c r="M130" s="19" t="str">
        <f t="shared" ca="1" si="129"/>
        <v>empty</v>
      </c>
      <c r="N130" s="19" t="str">
        <f t="shared" ca="1" si="129"/>
        <v>empty</v>
      </c>
      <c r="O130" s="19" t="str">
        <f t="shared" ca="1" si="129"/>
        <v>empty</v>
      </c>
      <c r="P130" s="19" t="str">
        <f t="shared" ca="1" si="129"/>
        <v>empty</v>
      </c>
      <c r="Q130" s="15" t="str">
        <f t="shared" ca="1" si="2"/>
        <v>www.looney.com</v>
      </c>
    </row>
    <row r="131" spans="1:17" ht="15.75" customHeight="1" x14ac:dyDescent="0.25">
      <c r="A131" s="19"/>
      <c r="B131" s="19"/>
      <c r="C131" s="19"/>
      <c r="D131" s="19"/>
      <c r="E131" s="19"/>
      <c r="F131" s="19"/>
      <c r="G131" s="19"/>
      <c r="H131" s="18"/>
      <c r="I131" s="18" t="str">
        <f t="shared" ca="1" si="3"/>
        <v/>
      </c>
      <c r="J131" s="19" t="str">
        <f t="shared" ca="1" si="0"/>
        <v/>
      </c>
      <c r="K131" s="19" t="str">
        <f t="shared" ref="K131:P131" ca="1" si="130">IFERROR(__xludf.DUMMYFUNCTION("iferror(lower(regexreplace(substitute(trim(if(B131="""",""empty"",B131)),"" "",""_""),""[^A-Za-z0-9_]"","""")))"),"empty")</f>
        <v>empty</v>
      </c>
      <c r="L131" s="19" t="str">
        <f t="shared" ca="1" si="130"/>
        <v>empty</v>
      </c>
      <c r="M131" s="19" t="str">
        <f t="shared" ca="1" si="130"/>
        <v>empty</v>
      </c>
      <c r="N131" s="19" t="str">
        <f t="shared" ca="1" si="130"/>
        <v>empty</v>
      </c>
      <c r="O131" s="19" t="str">
        <f t="shared" ca="1" si="130"/>
        <v>empty</v>
      </c>
      <c r="P131" s="19" t="str">
        <f t="shared" ca="1" si="130"/>
        <v>empty</v>
      </c>
      <c r="Q131" s="15" t="str">
        <f t="shared" ca="1" si="2"/>
        <v>www.looney.com</v>
      </c>
    </row>
    <row r="132" spans="1:17" ht="15.75" customHeight="1" x14ac:dyDescent="0.25">
      <c r="A132" s="19"/>
      <c r="B132" s="19"/>
      <c r="C132" s="19"/>
      <c r="D132" s="19"/>
      <c r="E132" s="19"/>
      <c r="F132" s="19"/>
      <c r="G132" s="19"/>
      <c r="H132" s="18"/>
      <c r="I132" s="18" t="str">
        <f t="shared" ca="1" si="3"/>
        <v/>
      </c>
      <c r="J132" s="19" t="str">
        <f t="shared" ca="1" si="0"/>
        <v/>
      </c>
      <c r="K132" s="19" t="str">
        <f t="shared" ref="K132:P132" ca="1" si="131">IFERROR(__xludf.DUMMYFUNCTION("iferror(lower(regexreplace(substitute(trim(if(B132="""",""empty"",B132)),"" "",""_""),""[^A-Za-z0-9_]"","""")))"),"empty")</f>
        <v>empty</v>
      </c>
      <c r="L132" s="19" t="str">
        <f t="shared" ca="1" si="131"/>
        <v>empty</v>
      </c>
      <c r="M132" s="19" t="str">
        <f t="shared" ca="1" si="131"/>
        <v>empty</v>
      </c>
      <c r="N132" s="19" t="str">
        <f t="shared" ca="1" si="131"/>
        <v>empty</v>
      </c>
      <c r="O132" s="19" t="str">
        <f t="shared" ca="1" si="131"/>
        <v>empty</v>
      </c>
      <c r="P132" s="19" t="str">
        <f t="shared" ca="1" si="131"/>
        <v>empty</v>
      </c>
      <c r="Q132" s="15" t="str">
        <f t="shared" ca="1" si="2"/>
        <v>www.looney.com</v>
      </c>
    </row>
    <row r="133" spans="1:17" ht="15.75" customHeight="1" x14ac:dyDescent="0.25">
      <c r="A133" s="19"/>
      <c r="B133" s="19"/>
      <c r="C133" s="19"/>
      <c r="D133" s="19"/>
      <c r="E133" s="19"/>
      <c r="F133" s="19"/>
      <c r="G133" s="19"/>
      <c r="H133" s="18"/>
      <c r="I133" s="18" t="str">
        <f t="shared" ca="1" si="3"/>
        <v/>
      </c>
      <c r="J133" s="19" t="str">
        <f t="shared" ca="1" si="0"/>
        <v/>
      </c>
      <c r="K133" s="19" t="str">
        <f t="shared" ref="K133:P133" ca="1" si="132">IFERROR(__xludf.DUMMYFUNCTION("iferror(lower(regexreplace(substitute(trim(if(B133="""",""empty"",B133)),"" "",""_""),""[^A-Za-z0-9_]"","""")))"),"empty")</f>
        <v>empty</v>
      </c>
      <c r="L133" s="19" t="str">
        <f t="shared" ca="1" si="132"/>
        <v>empty</v>
      </c>
      <c r="M133" s="19" t="str">
        <f t="shared" ca="1" si="132"/>
        <v>empty</v>
      </c>
      <c r="N133" s="19" t="str">
        <f t="shared" ca="1" si="132"/>
        <v>empty</v>
      </c>
      <c r="O133" s="19" t="str">
        <f t="shared" ca="1" si="132"/>
        <v>empty</v>
      </c>
      <c r="P133" s="19" t="str">
        <f t="shared" ca="1" si="132"/>
        <v>empty</v>
      </c>
      <c r="Q133" s="15" t="str">
        <f t="shared" ca="1" si="2"/>
        <v>www.looney.com</v>
      </c>
    </row>
    <row r="134" spans="1:17" ht="15.75" customHeight="1" x14ac:dyDescent="0.25">
      <c r="A134" s="19"/>
      <c r="B134" s="19"/>
      <c r="C134" s="19"/>
      <c r="D134" s="19"/>
      <c r="E134" s="19"/>
      <c r="F134" s="19"/>
      <c r="G134" s="19"/>
      <c r="H134" s="18"/>
      <c r="I134" s="18" t="str">
        <f t="shared" ca="1" si="3"/>
        <v/>
      </c>
      <c r="J134" s="19" t="str">
        <f t="shared" ca="1" si="0"/>
        <v/>
      </c>
      <c r="K134" s="19" t="str">
        <f t="shared" ref="K134:P134" ca="1" si="133">IFERROR(__xludf.DUMMYFUNCTION("iferror(lower(regexreplace(substitute(trim(if(B134="""",""empty"",B134)),"" "",""_""),""[^A-Za-z0-9_]"","""")))"),"empty")</f>
        <v>empty</v>
      </c>
      <c r="L134" s="19" t="str">
        <f t="shared" ca="1" si="133"/>
        <v>empty</v>
      </c>
      <c r="M134" s="19" t="str">
        <f t="shared" ca="1" si="133"/>
        <v>empty</v>
      </c>
      <c r="N134" s="19" t="str">
        <f t="shared" ca="1" si="133"/>
        <v>empty</v>
      </c>
      <c r="O134" s="19" t="str">
        <f t="shared" ca="1" si="133"/>
        <v>empty</v>
      </c>
      <c r="P134" s="19" t="str">
        <f t="shared" ca="1" si="133"/>
        <v>empty</v>
      </c>
      <c r="Q134" s="15" t="str">
        <f t="shared" ca="1" si="2"/>
        <v>www.looney.com</v>
      </c>
    </row>
    <row r="135" spans="1:17" ht="15.75" customHeight="1" x14ac:dyDescent="0.25">
      <c r="A135" s="19"/>
      <c r="B135" s="19"/>
      <c r="C135" s="19"/>
      <c r="D135" s="19"/>
      <c r="E135" s="19"/>
      <c r="F135" s="19"/>
      <c r="G135" s="19"/>
      <c r="H135" s="18"/>
      <c r="I135" s="18" t="str">
        <f t="shared" ca="1" si="3"/>
        <v/>
      </c>
      <c r="J135" s="19" t="str">
        <f t="shared" ca="1" si="0"/>
        <v/>
      </c>
      <c r="K135" s="19" t="str">
        <f t="shared" ref="K135:P135" ca="1" si="134">IFERROR(__xludf.DUMMYFUNCTION("iferror(lower(regexreplace(substitute(trim(if(B135="""",""empty"",B135)),"" "",""_""),""[^A-Za-z0-9_]"","""")))"),"empty")</f>
        <v>empty</v>
      </c>
      <c r="L135" s="19" t="str">
        <f t="shared" ca="1" si="134"/>
        <v>empty</v>
      </c>
      <c r="M135" s="19" t="str">
        <f t="shared" ca="1" si="134"/>
        <v>empty</v>
      </c>
      <c r="N135" s="19" t="str">
        <f t="shared" ca="1" si="134"/>
        <v>empty</v>
      </c>
      <c r="O135" s="19" t="str">
        <f t="shared" ca="1" si="134"/>
        <v>empty</v>
      </c>
      <c r="P135" s="19" t="str">
        <f t="shared" ca="1" si="134"/>
        <v>empty</v>
      </c>
      <c r="Q135" s="15" t="str">
        <f t="shared" ca="1" si="2"/>
        <v>www.looney.com</v>
      </c>
    </row>
    <row r="136" spans="1:17" ht="15.75" customHeight="1" x14ac:dyDescent="0.25">
      <c r="A136" s="19"/>
      <c r="B136" s="19"/>
      <c r="C136" s="19"/>
      <c r="D136" s="19"/>
      <c r="E136" s="19"/>
      <c r="F136" s="19"/>
      <c r="G136" s="19"/>
      <c r="H136" s="18"/>
      <c r="I136" s="18" t="str">
        <f t="shared" ca="1" si="3"/>
        <v/>
      </c>
      <c r="J136" s="19" t="str">
        <f t="shared" ca="1" si="0"/>
        <v/>
      </c>
      <c r="K136" s="19" t="str">
        <f t="shared" ref="K136:P136" ca="1" si="135">IFERROR(__xludf.DUMMYFUNCTION("iferror(lower(regexreplace(substitute(trim(if(B136="""",""empty"",B136)),"" "",""_""),""[^A-Za-z0-9_]"","""")))"),"empty")</f>
        <v>empty</v>
      </c>
      <c r="L136" s="19" t="str">
        <f t="shared" ca="1" si="135"/>
        <v>empty</v>
      </c>
      <c r="M136" s="19" t="str">
        <f t="shared" ca="1" si="135"/>
        <v>empty</v>
      </c>
      <c r="N136" s="19" t="str">
        <f t="shared" ca="1" si="135"/>
        <v>empty</v>
      </c>
      <c r="O136" s="19" t="str">
        <f t="shared" ca="1" si="135"/>
        <v>empty</v>
      </c>
      <c r="P136" s="19" t="str">
        <f t="shared" ca="1" si="135"/>
        <v>empty</v>
      </c>
      <c r="Q136" s="15" t="str">
        <f t="shared" ca="1" si="2"/>
        <v>www.looney.com</v>
      </c>
    </row>
    <row r="137" spans="1:17" ht="15.75" customHeight="1" x14ac:dyDescent="0.25">
      <c r="A137" s="19"/>
      <c r="B137" s="19"/>
      <c r="C137" s="19"/>
      <c r="D137" s="19"/>
      <c r="E137" s="19"/>
      <c r="F137" s="19"/>
      <c r="G137" s="19"/>
      <c r="H137" s="18"/>
      <c r="I137" s="18" t="str">
        <f t="shared" ca="1" si="3"/>
        <v/>
      </c>
      <c r="J137" s="19" t="str">
        <f t="shared" ca="1" si="0"/>
        <v/>
      </c>
      <c r="K137" s="19" t="str">
        <f t="shared" ref="K137:P137" ca="1" si="136">IFERROR(__xludf.DUMMYFUNCTION("iferror(lower(regexreplace(substitute(trim(if(B137="""",""empty"",B137)),"" "",""_""),""[^A-Za-z0-9_]"","""")))"),"empty")</f>
        <v>empty</v>
      </c>
      <c r="L137" s="19" t="str">
        <f t="shared" ca="1" si="136"/>
        <v>empty</v>
      </c>
      <c r="M137" s="19" t="str">
        <f t="shared" ca="1" si="136"/>
        <v>empty</v>
      </c>
      <c r="N137" s="19" t="str">
        <f t="shared" ca="1" si="136"/>
        <v>empty</v>
      </c>
      <c r="O137" s="19" t="str">
        <f t="shared" ca="1" si="136"/>
        <v>empty</v>
      </c>
      <c r="P137" s="19" t="str">
        <f t="shared" ca="1" si="136"/>
        <v>empty</v>
      </c>
      <c r="Q137" s="15" t="str">
        <f t="shared" ca="1" si="2"/>
        <v>www.looney.com</v>
      </c>
    </row>
    <row r="138" spans="1:17" ht="15.75" customHeight="1" x14ac:dyDescent="0.25">
      <c r="A138" s="19"/>
      <c r="B138" s="19"/>
      <c r="C138" s="19"/>
      <c r="D138" s="19"/>
      <c r="E138" s="19"/>
      <c r="F138" s="19"/>
      <c r="G138" s="19"/>
      <c r="H138" s="18"/>
      <c r="I138" s="18" t="str">
        <f t="shared" ca="1" si="3"/>
        <v/>
      </c>
      <c r="J138" s="19" t="str">
        <f t="shared" ca="1" si="0"/>
        <v/>
      </c>
      <c r="K138" s="19" t="str">
        <f t="shared" ref="K138:P138" ca="1" si="137">IFERROR(__xludf.DUMMYFUNCTION("iferror(lower(regexreplace(substitute(trim(if(B138="""",""empty"",B138)),"" "",""_""),""[^A-Za-z0-9_]"","""")))"),"empty")</f>
        <v>empty</v>
      </c>
      <c r="L138" s="19" t="str">
        <f t="shared" ca="1" si="137"/>
        <v>empty</v>
      </c>
      <c r="M138" s="19" t="str">
        <f t="shared" ca="1" si="137"/>
        <v>empty</v>
      </c>
      <c r="N138" s="19" t="str">
        <f t="shared" ca="1" si="137"/>
        <v>empty</v>
      </c>
      <c r="O138" s="19" t="str">
        <f t="shared" ca="1" si="137"/>
        <v>empty</v>
      </c>
      <c r="P138" s="19" t="str">
        <f t="shared" ca="1" si="137"/>
        <v>empty</v>
      </c>
      <c r="Q138" s="15" t="str">
        <f t="shared" ca="1" si="2"/>
        <v>www.looney.com</v>
      </c>
    </row>
    <row r="139" spans="1:17" ht="15.75" customHeight="1" x14ac:dyDescent="0.25">
      <c r="A139" s="19"/>
      <c r="B139" s="19"/>
      <c r="C139" s="19"/>
      <c r="D139" s="19"/>
      <c r="E139" s="19"/>
      <c r="F139" s="19"/>
      <c r="G139" s="19"/>
      <c r="H139" s="18"/>
      <c r="I139" s="18" t="str">
        <f t="shared" ca="1" si="3"/>
        <v/>
      </c>
      <c r="J139" s="19" t="str">
        <f t="shared" ca="1" si="0"/>
        <v/>
      </c>
      <c r="K139" s="19" t="str">
        <f t="shared" ref="K139:P139" ca="1" si="138">IFERROR(__xludf.DUMMYFUNCTION("iferror(lower(regexreplace(substitute(trim(if(B139="""",""empty"",B139)),"" "",""_""),""[^A-Za-z0-9_]"","""")))"),"empty")</f>
        <v>empty</v>
      </c>
      <c r="L139" s="19" t="str">
        <f t="shared" ca="1" si="138"/>
        <v>empty</v>
      </c>
      <c r="M139" s="19" t="str">
        <f t="shared" ca="1" si="138"/>
        <v>empty</v>
      </c>
      <c r="N139" s="19" t="str">
        <f t="shared" ca="1" si="138"/>
        <v>empty</v>
      </c>
      <c r="O139" s="19" t="str">
        <f t="shared" ca="1" si="138"/>
        <v>empty</v>
      </c>
      <c r="P139" s="19" t="str">
        <f t="shared" ca="1" si="138"/>
        <v>empty</v>
      </c>
      <c r="Q139" s="15" t="str">
        <f t="shared" ca="1" si="2"/>
        <v>www.looney.com</v>
      </c>
    </row>
    <row r="140" spans="1:17" ht="15.75" customHeight="1" x14ac:dyDescent="0.25">
      <c r="A140" s="19"/>
      <c r="B140" s="19"/>
      <c r="C140" s="19"/>
      <c r="D140" s="19"/>
      <c r="E140" s="19"/>
      <c r="F140" s="19"/>
      <c r="G140" s="19"/>
      <c r="H140" s="18"/>
      <c r="I140" s="18" t="str">
        <f t="shared" ca="1" si="3"/>
        <v/>
      </c>
      <c r="J140" s="19" t="str">
        <f t="shared" ca="1" si="0"/>
        <v/>
      </c>
      <c r="K140" s="19" t="str">
        <f t="shared" ref="K140:P140" ca="1" si="139">IFERROR(__xludf.DUMMYFUNCTION("iferror(lower(regexreplace(substitute(trim(if(B140="""",""empty"",B140)),"" "",""_""),""[^A-Za-z0-9_]"","""")))"),"empty")</f>
        <v>empty</v>
      </c>
      <c r="L140" s="19" t="str">
        <f t="shared" ca="1" si="139"/>
        <v>empty</v>
      </c>
      <c r="M140" s="19" t="str">
        <f t="shared" ca="1" si="139"/>
        <v>empty</v>
      </c>
      <c r="N140" s="19" t="str">
        <f t="shared" ca="1" si="139"/>
        <v>empty</v>
      </c>
      <c r="O140" s="19" t="str">
        <f t="shared" ca="1" si="139"/>
        <v>empty</v>
      </c>
      <c r="P140" s="19" t="str">
        <f t="shared" ca="1" si="139"/>
        <v>empty</v>
      </c>
      <c r="Q140" s="15" t="str">
        <f t="shared" ca="1" si="2"/>
        <v>www.looney.com</v>
      </c>
    </row>
    <row r="141" spans="1:17" ht="15.75" customHeight="1" x14ac:dyDescent="0.25">
      <c r="A141" s="19"/>
      <c r="B141" s="19"/>
      <c r="C141" s="19"/>
      <c r="D141" s="19"/>
      <c r="E141" s="19"/>
      <c r="F141" s="19"/>
      <c r="G141" s="19"/>
      <c r="H141" s="18"/>
      <c r="I141" s="18" t="str">
        <f t="shared" ca="1" si="3"/>
        <v/>
      </c>
      <c r="J141" s="19" t="str">
        <f t="shared" ca="1" si="0"/>
        <v/>
      </c>
      <c r="K141" s="19" t="str">
        <f t="shared" ref="K141:P141" ca="1" si="140">IFERROR(__xludf.DUMMYFUNCTION("iferror(lower(regexreplace(substitute(trim(if(B141="""",""empty"",B141)),"" "",""_""),""[^A-Za-z0-9_]"","""")))"),"empty")</f>
        <v>empty</v>
      </c>
      <c r="L141" s="19" t="str">
        <f t="shared" ca="1" si="140"/>
        <v>empty</v>
      </c>
      <c r="M141" s="19" t="str">
        <f t="shared" ca="1" si="140"/>
        <v>empty</v>
      </c>
      <c r="N141" s="19" t="str">
        <f t="shared" ca="1" si="140"/>
        <v>empty</v>
      </c>
      <c r="O141" s="19" t="str">
        <f t="shared" ca="1" si="140"/>
        <v>empty</v>
      </c>
      <c r="P141" s="19" t="str">
        <f t="shared" ca="1" si="140"/>
        <v>empty</v>
      </c>
      <c r="Q141" s="15" t="str">
        <f t="shared" ca="1" si="2"/>
        <v>www.looney.com</v>
      </c>
    </row>
    <row r="142" spans="1:17" ht="15.75" customHeight="1" x14ac:dyDescent="0.25">
      <c r="A142" s="19"/>
      <c r="B142" s="19"/>
      <c r="C142" s="19"/>
      <c r="D142" s="19"/>
      <c r="E142" s="19"/>
      <c r="F142" s="19"/>
      <c r="G142" s="19"/>
      <c r="H142" s="18"/>
      <c r="I142" s="18" t="str">
        <f t="shared" ca="1" si="3"/>
        <v/>
      </c>
      <c r="J142" s="19" t="str">
        <f t="shared" ca="1" si="0"/>
        <v/>
      </c>
      <c r="K142" s="19" t="str">
        <f t="shared" ref="K142:P142" ca="1" si="141">IFERROR(__xludf.DUMMYFUNCTION("iferror(lower(regexreplace(substitute(trim(if(B142="""",""empty"",B142)),"" "",""_""),""[^A-Za-z0-9_]"","""")))"),"empty")</f>
        <v>empty</v>
      </c>
      <c r="L142" s="19" t="str">
        <f t="shared" ca="1" si="141"/>
        <v>empty</v>
      </c>
      <c r="M142" s="19" t="str">
        <f t="shared" ca="1" si="141"/>
        <v>empty</v>
      </c>
      <c r="N142" s="19" t="str">
        <f t="shared" ca="1" si="141"/>
        <v>empty</v>
      </c>
      <c r="O142" s="19" t="str">
        <f t="shared" ca="1" si="141"/>
        <v>empty</v>
      </c>
      <c r="P142" s="19" t="str">
        <f t="shared" ca="1" si="141"/>
        <v>empty</v>
      </c>
      <c r="Q142" s="15" t="str">
        <f t="shared" ca="1" si="2"/>
        <v>www.looney.com</v>
      </c>
    </row>
    <row r="143" spans="1:17" ht="15.75" customHeight="1" x14ac:dyDescent="0.25">
      <c r="A143" s="19"/>
      <c r="B143" s="19"/>
      <c r="C143" s="19"/>
      <c r="D143" s="19"/>
      <c r="E143" s="19"/>
      <c r="F143" s="19"/>
      <c r="G143" s="19"/>
      <c r="H143" s="18"/>
      <c r="I143" s="18" t="str">
        <f t="shared" ca="1" si="3"/>
        <v/>
      </c>
      <c r="J143" s="19" t="str">
        <f t="shared" ca="1" si="0"/>
        <v/>
      </c>
      <c r="K143" s="19" t="str">
        <f t="shared" ref="K143:P143" ca="1" si="142">IFERROR(__xludf.DUMMYFUNCTION("iferror(lower(regexreplace(substitute(trim(if(B143="""",""empty"",B143)),"" "",""_""),""[^A-Za-z0-9_]"","""")))"),"empty")</f>
        <v>empty</v>
      </c>
      <c r="L143" s="19" t="str">
        <f t="shared" ca="1" si="142"/>
        <v>empty</v>
      </c>
      <c r="M143" s="19" t="str">
        <f t="shared" ca="1" si="142"/>
        <v>empty</v>
      </c>
      <c r="N143" s="19" t="str">
        <f t="shared" ca="1" si="142"/>
        <v>empty</v>
      </c>
      <c r="O143" s="19" t="str">
        <f t="shared" ca="1" si="142"/>
        <v>empty</v>
      </c>
      <c r="P143" s="19" t="str">
        <f t="shared" ca="1" si="142"/>
        <v>empty</v>
      </c>
      <c r="Q143" s="15" t="str">
        <f t="shared" ca="1" si="2"/>
        <v>www.looney.com</v>
      </c>
    </row>
    <row r="144" spans="1:17" ht="15.75" customHeight="1" x14ac:dyDescent="0.25">
      <c r="A144" s="19"/>
      <c r="B144" s="19"/>
      <c r="C144" s="19"/>
      <c r="D144" s="19"/>
      <c r="E144" s="19"/>
      <c r="F144" s="19"/>
      <c r="G144" s="19"/>
      <c r="H144" s="18"/>
      <c r="I144" s="18" t="str">
        <f t="shared" ca="1" si="3"/>
        <v/>
      </c>
      <c r="J144" s="19" t="str">
        <f t="shared" ca="1" si="0"/>
        <v/>
      </c>
      <c r="K144" s="19" t="str">
        <f t="shared" ref="K144:P144" ca="1" si="143">IFERROR(__xludf.DUMMYFUNCTION("iferror(lower(regexreplace(substitute(trim(if(B144="""",""empty"",B144)),"" "",""_""),""[^A-Za-z0-9_]"","""")))"),"empty")</f>
        <v>empty</v>
      </c>
      <c r="L144" s="19" t="str">
        <f t="shared" ca="1" si="143"/>
        <v>empty</v>
      </c>
      <c r="M144" s="19" t="str">
        <f t="shared" ca="1" si="143"/>
        <v>empty</v>
      </c>
      <c r="N144" s="19" t="str">
        <f t="shared" ca="1" si="143"/>
        <v>empty</v>
      </c>
      <c r="O144" s="19" t="str">
        <f t="shared" ca="1" si="143"/>
        <v>empty</v>
      </c>
      <c r="P144" s="19" t="str">
        <f t="shared" ca="1" si="143"/>
        <v>empty</v>
      </c>
      <c r="Q144" s="15" t="str">
        <f t="shared" ca="1" si="2"/>
        <v>www.looney.com</v>
      </c>
    </row>
    <row r="145" spans="1:17" ht="15.75" customHeight="1" x14ac:dyDescent="0.25">
      <c r="A145" s="19"/>
      <c r="B145" s="19"/>
      <c r="C145" s="19"/>
      <c r="D145" s="19"/>
      <c r="E145" s="19"/>
      <c r="F145" s="19"/>
      <c r="G145" s="19"/>
      <c r="H145" s="18"/>
      <c r="I145" s="18" t="str">
        <f t="shared" ca="1" si="3"/>
        <v/>
      </c>
      <c r="J145" s="19" t="str">
        <f t="shared" ca="1" si="0"/>
        <v/>
      </c>
      <c r="K145" s="19" t="str">
        <f t="shared" ref="K145:P145" ca="1" si="144">IFERROR(__xludf.DUMMYFUNCTION("iferror(lower(regexreplace(substitute(trim(if(B145="""",""empty"",B145)),"" "",""_""),""[^A-Za-z0-9_]"","""")))"),"empty")</f>
        <v>empty</v>
      </c>
      <c r="L145" s="19" t="str">
        <f t="shared" ca="1" si="144"/>
        <v>empty</v>
      </c>
      <c r="M145" s="19" t="str">
        <f t="shared" ca="1" si="144"/>
        <v>empty</v>
      </c>
      <c r="N145" s="19" t="str">
        <f t="shared" ca="1" si="144"/>
        <v>empty</v>
      </c>
      <c r="O145" s="19" t="str">
        <f t="shared" ca="1" si="144"/>
        <v>empty</v>
      </c>
      <c r="P145" s="19" t="str">
        <f t="shared" ca="1" si="144"/>
        <v>empty</v>
      </c>
      <c r="Q145" s="15" t="str">
        <f t="shared" ca="1" si="2"/>
        <v>www.looney.com</v>
      </c>
    </row>
    <row r="146" spans="1:17" ht="15.75" customHeight="1" x14ac:dyDescent="0.25">
      <c r="A146" s="19"/>
      <c r="B146" s="19"/>
      <c r="C146" s="19"/>
      <c r="D146" s="19"/>
      <c r="E146" s="19"/>
      <c r="F146" s="19"/>
      <c r="G146" s="19"/>
      <c r="H146" s="18"/>
      <c r="I146" s="18" t="str">
        <f t="shared" ca="1" si="3"/>
        <v/>
      </c>
      <c r="J146" s="19" t="str">
        <f t="shared" ca="1" si="0"/>
        <v/>
      </c>
      <c r="K146" s="19" t="str">
        <f t="shared" ref="K146:P146" ca="1" si="145">IFERROR(__xludf.DUMMYFUNCTION("iferror(lower(regexreplace(substitute(trim(if(B146="""",""empty"",B146)),"" "",""_""),""[^A-Za-z0-9_]"","""")))"),"empty")</f>
        <v>empty</v>
      </c>
      <c r="L146" s="19" t="str">
        <f t="shared" ca="1" si="145"/>
        <v>empty</v>
      </c>
      <c r="M146" s="19" t="str">
        <f t="shared" ca="1" si="145"/>
        <v>empty</v>
      </c>
      <c r="N146" s="19" t="str">
        <f t="shared" ca="1" si="145"/>
        <v>empty</v>
      </c>
      <c r="O146" s="19" t="str">
        <f t="shared" ca="1" si="145"/>
        <v>empty</v>
      </c>
      <c r="P146" s="19" t="str">
        <f t="shared" ca="1" si="145"/>
        <v>empty</v>
      </c>
      <c r="Q146" s="15" t="str">
        <f t="shared" ca="1" si="2"/>
        <v>www.looney.com</v>
      </c>
    </row>
    <row r="147" spans="1:17" ht="15.75" customHeight="1" x14ac:dyDescent="0.25">
      <c r="A147" s="19"/>
      <c r="B147" s="19"/>
      <c r="C147" s="19"/>
      <c r="D147" s="19"/>
      <c r="E147" s="19"/>
      <c r="F147" s="19"/>
      <c r="G147" s="19"/>
      <c r="H147" s="18"/>
      <c r="I147" s="18" t="str">
        <f t="shared" ca="1" si="3"/>
        <v/>
      </c>
      <c r="J147" s="19" t="str">
        <f t="shared" ca="1" si="0"/>
        <v/>
      </c>
      <c r="K147" s="19" t="str">
        <f t="shared" ref="K147:P147" ca="1" si="146">IFERROR(__xludf.DUMMYFUNCTION("iferror(lower(regexreplace(substitute(trim(if(B147="""",""empty"",B147)),"" "",""_""),""[^A-Za-z0-9_]"","""")))"),"empty")</f>
        <v>empty</v>
      </c>
      <c r="L147" s="19" t="str">
        <f t="shared" ca="1" si="146"/>
        <v>empty</v>
      </c>
      <c r="M147" s="19" t="str">
        <f t="shared" ca="1" si="146"/>
        <v>empty</v>
      </c>
      <c r="N147" s="19" t="str">
        <f t="shared" ca="1" si="146"/>
        <v>empty</v>
      </c>
      <c r="O147" s="19" t="str">
        <f t="shared" ca="1" si="146"/>
        <v>empty</v>
      </c>
      <c r="P147" s="19" t="str">
        <f t="shared" ca="1" si="146"/>
        <v>empty</v>
      </c>
      <c r="Q147" s="15" t="str">
        <f t="shared" ca="1" si="2"/>
        <v>www.looney.com</v>
      </c>
    </row>
    <row r="148" spans="1:17" ht="15.75" customHeight="1" x14ac:dyDescent="0.25">
      <c r="A148" s="19"/>
      <c r="B148" s="19"/>
      <c r="C148" s="19"/>
      <c r="D148" s="19"/>
      <c r="E148" s="19"/>
      <c r="F148" s="19"/>
      <c r="G148" s="19"/>
      <c r="H148" s="18"/>
      <c r="I148" s="18" t="str">
        <f t="shared" ca="1" si="3"/>
        <v/>
      </c>
      <c r="J148" s="19" t="str">
        <f t="shared" ca="1" si="0"/>
        <v/>
      </c>
      <c r="K148" s="19" t="str">
        <f t="shared" ref="K148:P148" ca="1" si="147">IFERROR(__xludf.DUMMYFUNCTION("iferror(lower(regexreplace(substitute(trim(if(B148="""",""empty"",B148)),"" "",""_""),""[^A-Za-z0-9_]"","""")))"),"empty")</f>
        <v>empty</v>
      </c>
      <c r="L148" s="19" t="str">
        <f t="shared" ca="1" si="147"/>
        <v>empty</v>
      </c>
      <c r="M148" s="19" t="str">
        <f t="shared" ca="1" si="147"/>
        <v>empty</v>
      </c>
      <c r="N148" s="19" t="str">
        <f t="shared" ca="1" si="147"/>
        <v>empty</v>
      </c>
      <c r="O148" s="19" t="str">
        <f t="shared" ca="1" si="147"/>
        <v>empty</v>
      </c>
      <c r="P148" s="19" t="str">
        <f t="shared" ca="1" si="147"/>
        <v>empty</v>
      </c>
      <c r="Q148" s="15" t="str">
        <f t="shared" ca="1" si="2"/>
        <v>www.looney.com</v>
      </c>
    </row>
    <row r="149" spans="1:17" ht="15.75" customHeight="1" x14ac:dyDescent="0.25">
      <c r="A149" s="19"/>
      <c r="B149" s="19"/>
      <c r="C149" s="19"/>
      <c r="D149" s="19"/>
      <c r="E149" s="19"/>
      <c r="F149" s="19"/>
      <c r="G149" s="19"/>
      <c r="H149" s="18"/>
      <c r="I149" s="18" t="str">
        <f t="shared" ca="1" si="3"/>
        <v/>
      </c>
      <c r="J149" s="19" t="str">
        <f t="shared" ca="1" si="0"/>
        <v/>
      </c>
      <c r="K149" s="19" t="str">
        <f t="shared" ref="K149:P149" ca="1" si="148">IFERROR(__xludf.DUMMYFUNCTION("iferror(lower(regexreplace(substitute(trim(if(B149="""",""empty"",B149)),"" "",""_""),""[^A-Za-z0-9_]"","""")))"),"empty")</f>
        <v>empty</v>
      </c>
      <c r="L149" s="19" t="str">
        <f t="shared" ca="1" si="148"/>
        <v>empty</v>
      </c>
      <c r="M149" s="19" t="str">
        <f t="shared" ca="1" si="148"/>
        <v>empty</v>
      </c>
      <c r="N149" s="19" t="str">
        <f t="shared" ca="1" si="148"/>
        <v>empty</v>
      </c>
      <c r="O149" s="19" t="str">
        <f t="shared" ca="1" si="148"/>
        <v>empty</v>
      </c>
      <c r="P149" s="19" t="str">
        <f t="shared" ca="1" si="148"/>
        <v>empty</v>
      </c>
      <c r="Q149" s="15" t="str">
        <f t="shared" ca="1" si="2"/>
        <v>www.looney.com</v>
      </c>
    </row>
    <row r="150" spans="1:17" ht="15.75" customHeight="1" x14ac:dyDescent="0.25">
      <c r="A150" s="19"/>
      <c r="B150" s="19"/>
      <c r="C150" s="19"/>
      <c r="D150" s="19"/>
      <c r="E150" s="19"/>
      <c r="F150" s="19"/>
      <c r="G150" s="19"/>
      <c r="H150" s="18"/>
      <c r="I150" s="18" t="str">
        <f t="shared" ca="1" si="3"/>
        <v/>
      </c>
      <c r="J150" s="19" t="str">
        <f t="shared" ca="1" si="0"/>
        <v/>
      </c>
      <c r="K150" s="19" t="str">
        <f t="shared" ref="K150:P150" ca="1" si="149">IFERROR(__xludf.DUMMYFUNCTION("iferror(lower(regexreplace(substitute(trim(if(B150="""",""empty"",B150)),"" "",""_""),""[^A-Za-z0-9_]"","""")))"),"empty")</f>
        <v>empty</v>
      </c>
      <c r="L150" s="19" t="str">
        <f t="shared" ca="1" si="149"/>
        <v>empty</v>
      </c>
      <c r="M150" s="19" t="str">
        <f t="shared" ca="1" si="149"/>
        <v>empty</v>
      </c>
      <c r="N150" s="19" t="str">
        <f t="shared" ca="1" si="149"/>
        <v>empty</v>
      </c>
      <c r="O150" s="19" t="str">
        <f t="shared" ca="1" si="149"/>
        <v>empty</v>
      </c>
      <c r="P150" s="19" t="str">
        <f t="shared" ca="1" si="149"/>
        <v>empty</v>
      </c>
      <c r="Q150" s="15" t="str">
        <f t="shared" ca="1" si="2"/>
        <v>www.looney.com</v>
      </c>
    </row>
    <row r="151" spans="1:17" ht="15.75" customHeight="1" x14ac:dyDescent="0.25">
      <c r="A151" s="19"/>
      <c r="B151" s="19"/>
      <c r="C151" s="19"/>
      <c r="D151" s="19"/>
      <c r="E151" s="19"/>
      <c r="F151" s="19"/>
      <c r="G151" s="19"/>
      <c r="H151" s="18"/>
      <c r="I151" s="18" t="str">
        <f t="shared" ca="1" si="3"/>
        <v/>
      </c>
      <c r="J151" s="19" t="str">
        <f t="shared" ca="1" si="0"/>
        <v/>
      </c>
      <c r="K151" s="19" t="str">
        <f t="shared" ref="K151:P151" ca="1" si="150">IFERROR(__xludf.DUMMYFUNCTION("iferror(lower(regexreplace(substitute(trim(if(B151="""",""empty"",B151)),"" "",""_""),""[^A-Za-z0-9_]"","""")))"),"empty")</f>
        <v>empty</v>
      </c>
      <c r="L151" s="19" t="str">
        <f t="shared" ca="1" si="150"/>
        <v>empty</v>
      </c>
      <c r="M151" s="19" t="str">
        <f t="shared" ca="1" si="150"/>
        <v>empty</v>
      </c>
      <c r="N151" s="19" t="str">
        <f t="shared" ca="1" si="150"/>
        <v>empty</v>
      </c>
      <c r="O151" s="19" t="str">
        <f t="shared" ca="1" si="150"/>
        <v>empty</v>
      </c>
      <c r="P151" s="19" t="str">
        <f t="shared" ca="1" si="150"/>
        <v>empty</v>
      </c>
      <c r="Q151" s="15" t="str">
        <f t="shared" ca="1" si="2"/>
        <v>www.looney.com</v>
      </c>
    </row>
    <row r="152" spans="1:17" ht="15.75" customHeight="1" x14ac:dyDescent="0.25">
      <c r="A152" s="19"/>
      <c r="B152" s="19"/>
      <c r="C152" s="19"/>
      <c r="D152" s="19"/>
      <c r="E152" s="19"/>
      <c r="F152" s="19"/>
      <c r="G152" s="19"/>
      <c r="H152" s="18"/>
      <c r="I152" s="18" t="str">
        <f t="shared" ca="1" si="3"/>
        <v/>
      </c>
      <c r="J152" s="19" t="str">
        <f t="shared" ca="1" si="0"/>
        <v/>
      </c>
      <c r="K152" s="19" t="str">
        <f t="shared" ref="K152:P152" ca="1" si="151">IFERROR(__xludf.DUMMYFUNCTION("iferror(lower(regexreplace(substitute(trim(if(B152="""",""empty"",B152)),"" "",""_""),""[^A-Za-z0-9_]"","""")))"),"empty")</f>
        <v>empty</v>
      </c>
      <c r="L152" s="19" t="str">
        <f t="shared" ca="1" si="151"/>
        <v>empty</v>
      </c>
      <c r="M152" s="19" t="str">
        <f t="shared" ca="1" si="151"/>
        <v>empty</v>
      </c>
      <c r="N152" s="19" t="str">
        <f t="shared" ca="1" si="151"/>
        <v>empty</v>
      </c>
      <c r="O152" s="19" t="str">
        <f t="shared" ca="1" si="151"/>
        <v>empty</v>
      </c>
      <c r="P152" s="19" t="str">
        <f t="shared" ca="1" si="151"/>
        <v>empty</v>
      </c>
      <c r="Q152" s="15" t="str">
        <f t="shared" ca="1" si="2"/>
        <v>www.looney.com</v>
      </c>
    </row>
    <row r="153" spans="1:17" ht="15.75" customHeight="1" x14ac:dyDescent="0.25">
      <c r="A153" s="19"/>
      <c r="B153" s="19"/>
      <c r="C153" s="19"/>
      <c r="D153" s="19"/>
      <c r="E153" s="19"/>
      <c r="F153" s="19"/>
      <c r="G153" s="19"/>
      <c r="H153" s="18"/>
      <c r="I153" s="18" t="str">
        <f t="shared" ca="1" si="3"/>
        <v/>
      </c>
      <c r="J153" s="19" t="str">
        <f t="shared" ca="1" si="0"/>
        <v/>
      </c>
      <c r="K153" s="19" t="str">
        <f t="shared" ref="K153:P153" ca="1" si="152">IFERROR(__xludf.DUMMYFUNCTION("iferror(lower(regexreplace(substitute(trim(if(B153="""",""empty"",B153)),"" "",""_""),""[^A-Za-z0-9_]"","""")))"),"empty")</f>
        <v>empty</v>
      </c>
      <c r="L153" s="19" t="str">
        <f t="shared" ca="1" si="152"/>
        <v>empty</v>
      </c>
      <c r="M153" s="19" t="str">
        <f t="shared" ca="1" si="152"/>
        <v>empty</v>
      </c>
      <c r="N153" s="19" t="str">
        <f t="shared" ca="1" si="152"/>
        <v>empty</v>
      </c>
      <c r="O153" s="19" t="str">
        <f t="shared" ca="1" si="152"/>
        <v>empty</v>
      </c>
      <c r="P153" s="19" t="str">
        <f t="shared" ca="1" si="152"/>
        <v>empty</v>
      </c>
      <c r="Q153" s="15" t="str">
        <f t="shared" ca="1" si="2"/>
        <v>www.looney.com</v>
      </c>
    </row>
    <row r="154" spans="1:17" ht="15.75" customHeight="1" x14ac:dyDescent="0.25">
      <c r="A154" s="19"/>
      <c r="B154" s="19"/>
      <c r="C154" s="19"/>
      <c r="D154" s="19"/>
      <c r="E154" s="19"/>
      <c r="F154" s="19"/>
      <c r="G154" s="19"/>
      <c r="H154" s="18"/>
      <c r="I154" s="18" t="str">
        <f t="shared" ca="1" si="3"/>
        <v/>
      </c>
      <c r="J154" s="19" t="str">
        <f t="shared" ca="1" si="0"/>
        <v/>
      </c>
      <c r="K154" s="19" t="str">
        <f t="shared" ref="K154:P154" ca="1" si="153">IFERROR(__xludf.DUMMYFUNCTION("iferror(lower(regexreplace(substitute(trim(if(B154="""",""empty"",B154)),"" "",""_""),""[^A-Za-z0-9_]"","""")))"),"empty")</f>
        <v>empty</v>
      </c>
      <c r="L154" s="19" t="str">
        <f t="shared" ca="1" si="153"/>
        <v>empty</v>
      </c>
      <c r="M154" s="19" t="str">
        <f t="shared" ca="1" si="153"/>
        <v>empty</v>
      </c>
      <c r="N154" s="19" t="str">
        <f t="shared" ca="1" si="153"/>
        <v>empty</v>
      </c>
      <c r="O154" s="19" t="str">
        <f t="shared" ca="1" si="153"/>
        <v>empty</v>
      </c>
      <c r="P154" s="19" t="str">
        <f t="shared" ca="1" si="153"/>
        <v>empty</v>
      </c>
      <c r="Q154" s="15" t="str">
        <f t="shared" ca="1" si="2"/>
        <v>www.looney.com</v>
      </c>
    </row>
    <row r="155" spans="1:17" ht="15.75" customHeight="1" x14ac:dyDescent="0.25">
      <c r="A155" s="19"/>
      <c r="B155" s="19"/>
      <c r="C155" s="19"/>
      <c r="D155" s="19"/>
      <c r="E155" s="19"/>
      <c r="F155" s="19"/>
      <c r="G155" s="19"/>
      <c r="H155" s="18"/>
      <c r="I155" s="18" t="str">
        <f t="shared" ca="1" si="3"/>
        <v/>
      </c>
      <c r="J155" s="19" t="str">
        <f t="shared" ca="1" si="0"/>
        <v/>
      </c>
      <c r="K155" s="19" t="str">
        <f t="shared" ref="K155:P155" ca="1" si="154">IFERROR(__xludf.DUMMYFUNCTION("iferror(lower(regexreplace(substitute(trim(if(B155="""",""empty"",B155)),"" "",""_""),""[^A-Za-z0-9_]"","""")))"),"empty")</f>
        <v>empty</v>
      </c>
      <c r="L155" s="19" t="str">
        <f t="shared" ca="1" si="154"/>
        <v>empty</v>
      </c>
      <c r="M155" s="19" t="str">
        <f t="shared" ca="1" si="154"/>
        <v>empty</v>
      </c>
      <c r="N155" s="19" t="str">
        <f t="shared" ca="1" si="154"/>
        <v>empty</v>
      </c>
      <c r="O155" s="19" t="str">
        <f t="shared" ca="1" si="154"/>
        <v>empty</v>
      </c>
      <c r="P155" s="19" t="str">
        <f t="shared" ca="1" si="154"/>
        <v>empty</v>
      </c>
      <c r="Q155" s="15" t="str">
        <f t="shared" ca="1" si="2"/>
        <v>www.looney.com</v>
      </c>
    </row>
    <row r="156" spans="1:17" ht="15.75" customHeight="1" x14ac:dyDescent="0.25">
      <c r="A156" s="19"/>
      <c r="B156" s="19"/>
      <c r="C156" s="19"/>
      <c r="D156" s="19"/>
      <c r="E156" s="19"/>
      <c r="F156" s="19"/>
      <c r="G156" s="19"/>
      <c r="H156" s="18"/>
      <c r="I156" s="18" t="str">
        <f t="shared" ca="1" si="3"/>
        <v/>
      </c>
      <c r="J156" s="19" t="str">
        <f t="shared" ca="1" si="0"/>
        <v/>
      </c>
      <c r="K156" s="19" t="str">
        <f t="shared" ref="K156:P156" ca="1" si="155">IFERROR(__xludf.DUMMYFUNCTION("iferror(lower(regexreplace(substitute(trim(if(B156="""",""empty"",B156)),"" "",""_""),""[^A-Za-z0-9_]"","""")))"),"empty")</f>
        <v>empty</v>
      </c>
      <c r="L156" s="19" t="str">
        <f t="shared" ca="1" si="155"/>
        <v>empty</v>
      </c>
      <c r="M156" s="19" t="str">
        <f t="shared" ca="1" si="155"/>
        <v>empty</v>
      </c>
      <c r="N156" s="19" t="str">
        <f t="shared" ca="1" si="155"/>
        <v>empty</v>
      </c>
      <c r="O156" s="19" t="str">
        <f t="shared" ca="1" si="155"/>
        <v>empty</v>
      </c>
      <c r="P156" s="19" t="str">
        <f t="shared" ca="1" si="155"/>
        <v>empty</v>
      </c>
      <c r="Q156" s="15" t="str">
        <f t="shared" ca="1" si="2"/>
        <v>www.looney.com</v>
      </c>
    </row>
    <row r="157" spans="1:17" ht="15.75" customHeight="1" x14ac:dyDescent="0.25">
      <c r="A157" s="19"/>
      <c r="B157" s="19"/>
      <c r="C157" s="19"/>
      <c r="D157" s="19"/>
      <c r="E157" s="19"/>
      <c r="F157" s="19"/>
      <c r="G157" s="19"/>
      <c r="H157" s="18"/>
      <c r="I157" s="18" t="str">
        <f t="shared" ca="1" si="3"/>
        <v/>
      </c>
      <c r="J157" s="19" t="str">
        <f t="shared" ca="1" si="0"/>
        <v/>
      </c>
      <c r="K157" s="19" t="str">
        <f t="shared" ref="K157:P157" ca="1" si="156">IFERROR(__xludf.DUMMYFUNCTION("iferror(lower(regexreplace(substitute(trim(if(B157="""",""empty"",B157)),"" "",""_""),""[^A-Za-z0-9_]"","""")))"),"empty")</f>
        <v>empty</v>
      </c>
      <c r="L157" s="19" t="str">
        <f t="shared" ca="1" si="156"/>
        <v>empty</v>
      </c>
      <c r="M157" s="19" t="str">
        <f t="shared" ca="1" si="156"/>
        <v>empty</v>
      </c>
      <c r="N157" s="19" t="str">
        <f t="shared" ca="1" si="156"/>
        <v>empty</v>
      </c>
      <c r="O157" s="19" t="str">
        <f t="shared" ca="1" si="156"/>
        <v>empty</v>
      </c>
      <c r="P157" s="19" t="str">
        <f t="shared" ca="1" si="156"/>
        <v>empty</v>
      </c>
      <c r="Q157" s="15" t="str">
        <f t="shared" ca="1" si="2"/>
        <v>www.looney.com</v>
      </c>
    </row>
    <row r="158" spans="1:17" ht="15.75" customHeight="1" x14ac:dyDescent="0.25">
      <c r="A158" s="19"/>
      <c r="B158" s="19"/>
      <c r="C158" s="19"/>
      <c r="D158" s="19"/>
      <c r="E158" s="19"/>
      <c r="F158" s="19"/>
      <c r="G158" s="19"/>
      <c r="H158" s="18"/>
      <c r="I158" s="18" t="str">
        <f t="shared" ca="1" si="3"/>
        <v/>
      </c>
      <c r="J158" s="19" t="str">
        <f t="shared" ca="1" si="0"/>
        <v/>
      </c>
      <c r="K158" s="19" t="str">
        <f t="shared" ref="K158:P158" ca="1" si="157">IFERROR(__xludf.DUMMYFUNCTION("iferror(lower(regexreplace(substitute(trim(if(B158="""",""empty"",B158)),"" "",""_""),""[^A-Za-z0-9_]"","""")))"),"empty")</f>
        <v>empty</v>
      </c>
      <c r="L158" s="19" t="str">
        <f t="shared" ca="1" si="157"/>
        <v>empty</v>
      </c>
      <c r="M158" s="19" t="str">
        <f t="shared" ca="1" si="157"/>
        <v>empty</v>
      </c>
      <c r="N158" s="19" t="str">
        <f t="shared" ca="1" si="157"/>
        <v>empty</v>
      </c>
      <c r="O158" s="19" t="str">
        <f t="shared" ca="1" si="157"/>
        <v>empty</v>
      </c>
      <c r="P158" s="19" t="str">
        <f t="shared" ca="1" si="157"/>
        <v>empty</v>
      </c>
      <c r="Q158" s="15" t="str">
        <f t="shared" ca="1" si="2"/>
        <v>www.looney.com</v>
      </c>
    </row>
    <row r="159" spans="1:17" ht="15.75" customHeight="1" x14ac:dyDescent="0.25">
      <c r="A159" s="19"/>
      <c r="B159" s="19"/>
      <c r="C159" s="19"/>
      <c r="D159" s="19"/>
      <c r="E159" s="19"/>
      <c r="F159" s="19"/>
      <c r="G159" s="19"/>
      <c r="H159" s="18"/>
      <c r="I159" s="18" t="str">
        <f t="shared" ca="1" si="3"/>
        <v/>
      </c>
      <c r="J159" s="19" t="str">
        <f t="shared" ca="1" si="0"/>
        <v/>
      </c>
      <c r="K159" s="19" t="str">
        <f t="shared" ref="K159:P159" ca="1" si="158">IFERROR(__xludf.DUMMYFUNCTION("iferror(lower(regexreplace(substitute(trim(if(B159="""",""empty"",B159)),"" "",""_""),""[^A-Za-z0-9_]"","""")))"),"empty")</f>
        <v>empty</v>
      </c>
      <c r="L159" s="19" t="str">
        <f t="shared" ca="1" si="158"/>
        <v>empty</v>
      </c>
      <c r="M159" s="19" t="str">
        <f t="shared" ca="1" si="158"/>
        <v>empty</v>
      </c>
      <c r="N159" s="19" t="str">
        <f t="shared" ca="1" si="158"/>
        <v>empty</v>
      </c>
      <c r="O159" s="19" t="str">
        <f t="shared" ca="1" si="158"/>
        <v>empty</v>
      </c>
      <c r="P159" s="19" t="str">
        <f t="shared" ca="1" si="158"/>
        <v>empty</v>
      </c>
      <c r="Q159" s="15" t="str">
        <f t="shared" ca="1" si="2"/>
        <v>www.looney.com</v>
      </c>
    </row>
    <row r="160" spans="1:17" ht="15.75" customHeight="1" x14ac:dyDescent="0.25">
      <c r="A160" s="19"/>
      <c r="B160" s="19"/>
      <c r="C160" s="19"/>
      <c r="D160" s="19"/>
      <c r="E160" s="19"/>
      <c r="F160" s="19"/>
      <c r="G160" s="19"/>
      <c r="H160" s="18"/>
      <c r="I160" s="18" t="str">
        <f t="shared" ca="1" si="3"/>
        <v/>
      </c>
      <c r="J160" s="19" t="str">
        <f t="shared" ca="1" si="0"/>
        <v/>
      </c>
      <c r="K160" s="19" t="str">
        <f t="shared" ref="K160:P160" ca="1" si="159">IFERROR(__xludf.DUMMYFUNCTION("iferror(lower(regexreplace(substitute(trim(if(B160="""",""empty"",B160)),"" "",""_""),""[^A-Za-z0-9_]"","""")))"),"empty")</f>
        <v>empty</v>
      </c>
      <c r="L160" s="19" t="str">
        <f t="shared" ca="1" si="159"/>
        <v>empty</v>
      </c>
      <c r="M160" s="19" t="str">
        <f t="shared" ca="1" si="159"/>
        <v>empty</v>
      </c>
      <c r="N160" s="19" t="str">
        <f t="shared" ca="1" si="159"/>
        <v>empty</v>
      </c>
      <c r="O160" s="19" t="str">
        <f t="shared" ca="1" si="159"/>
        <v>empty</v>
      </c>
      <c r="P160" s="19" t="str">
        <f t="shared" ca="1" si="159"/>
        <v>empty</v>
      </c>
      <c r="Q160" s="15" t="str">
        <f t="shared" ca="1" si="2"/>
        <v>www.looney.com</v>
      </c>
    </row>
    <row r="161" spans="1:17" ht="15.75" customHeight="1" x14ac:dyDescent="0.25">
      <c r="A161" s="19"/>
      <c r="B161" s="19"/>
      <c r="C161" s="19"/>
      <c r="D161" s="19"/>
      <c r="E161" s="19"/>
      <c r="F161" s="19"/>
      <c r="G161" s="19"/>
      <c r="H161" s="18"/>
      <c r="I161" s="18" t="str">
        <f t="shared" ca="1" si="3"/>
        <v/>
      </c>
      <c r="J161" s="19" t="str">
        <f t="shared" ca="1" si="0"/>
        <v/>
      </c>
      <c r="K161" s="19" t="str">
        <f t="shared" ref="K161:P161" ca="1" si="160">IFERROR(__xludf.DUMMYFUNCTION("iferror(lower(regexreplace(substitute(trim(if(B161="""",""empty"",B161)),"" "",""_""),""[^A-Za-z0-9_]"","""")))"),"empty")</f>
        <v>empty</v>
      </c>
      <c r="L161" s="19" t="str">
        <f t="shared" ca="1" si="160"/>
        <v>empty</v>
      </c>
      <c r="M161" s="19" t="str">
        <f t="shared" ca="1" si="160"/>
        <v>empty</v>
      </c>
      <c r="N161" s="19" t="str">
        <f t="shared" ca="1" si="160"/>
        <v>empty</v>
      </c>
      <c r="O161" s="19" t="str">
        <f t="shared" ca="1" si="160"/>
        <v>empty</v>
      </c>
      <c r="P161" s="19" t="str">
        <f t="shared" ca="1" si="160"/>
        <v>empty</v>
      </c>
      <c r="Q161" s="15" t="str">
        <f t="shared" ca="1" si="2"/>
        <v>www.looney.com</v>
      </c>
    </row>
    <row r="162" spans="1:17" ht="15.75" customHeight="1" x14ac:dyDescent="0.25">
      <c r="A162" s="19"/>
      <c r="B162" s="19"/>
      <c r="C162" s="19"/>
      <c r="D162" s="19"/>
      <c r="E162" s="19"/>
      <c r="F162" s="19"/>
      <c r="G162" s="19"/>
      <c r="H162" s="18"/>
      <c r="I162" s="18" t="str">
        <f t="shared" ca="1" si="3"/>
        <v/>
      </c>
      <c r="J162" s="19" t="str">
        <f t="shared" ca="1" si="0"/>
        <v/>
      </c>
      <c r="K162" s="19" t="str">
        <f t="shared" ref="K162:P162" ca="1" si="161">IFERROR(__xludf.DUMMYFUNCTION("iferror(lower(regexreplace(substitute(trim(if(B162="""",""empty"",B162)),"" "",""_""),""[^A-Za-z0-9_]"","""")))"),"empty")</f>
        <v>empty</v>
      </c>
      <c r="L162" s="19" t="str">
        <f t="shared" ca="1" si="161"/>
        <v>empty</v>
      </c>
      <c r="M162" s="19" t="str">
        <f t="shared" ca="1" si="161"/>
        <v>empty</v>
      </c>
      <c r="N162" s="19" t="str">
        <f t="shared" ca="1" si="161"/>
        <v>empty</v>
      </c>
      <c r="O162" s="19" t="str">
        <f t="shared" ca="1" si="161"/>
        <v>empty</v>
      </c>
      <c r="P162" s="19" t="str">
        <f t="shared" ca="1" si="161"/>
        <v>empty</v>
      </c>
      <c r="Q162" s="15" t="str">
        <f t="shared" ca="1" si="2"/>
        <v>www.looney.com</v>
      </c>
    </row>
    <row r="163" spans="1:17" ht="15.75" customHeight="1" x14ac:dyDescent="0.25">
      <c r="A163" s="19"/>
      <c r="B163" s="19"/>
      <c r="C163" s="19"/>
      <c r="D163" s="19"/>
      <c r="E163" s="19"/>
      <c r="F163" s="19"/>
      <c r="G163" s="19"/>
      <c r="H163" s="18"/>
      <c r="I163" s="18" t="str">
        <f t="shared" ca="1" si="3"/>
        <v/>
      </c>
      <c r="J163" s="19" t="str">
        <f t="shared" ca="1" si="0"/>
        <v/>
      </c>
      <c r="K163" s="19" t="str">
        <f t="shared" ref="K163:P163" ca="1" si="162">IFERROR(__xludf.DUMMYFUNCTION("iferror(lower(regexreplace(substitute(trim(if(B163="""",""empty"",B163)),"" "",""_""),""[^A-Za-z0-9_]"","""")))"),"empty")</f>
        <v>empty</v>
      </c>
      <c r="L163" s="19" t="str">
        <f t="shared" ca="1" si="162"/>
        <v>empty</v>
      </c>
      <c r="M163" s="19" t="str">
        <f t="shared" ca="1" si="162"/>
        <v>empty</v>
      </c>
      <c r="N163" s="19" t="str">
        <f t="shared" ca="1" si="162"/>
        <v>empty</v>
      </c>
      <c r="O163" s="19" t="str">
        <f t="shared" ca="1" si="162"/>
        <v>empty</v>
      </c>
      <c r="P163" s="19" t="str">
        <f t="shared" ca="1" si="162"/>
        <v>empty</v>
      </c>
      <c r="Q163" s="15" t="str">
        <f t="shared" ca="1" si="2"/>
        <v>www.looney.com</v>
      </c>
    </row>
    <row r="164" spans="1:17" ht="15.75" customHeight="1" x14ac:dyDescent="0.25">
      <c r="A164" s="19"/>
      <c r="B164" s="19"/>
      <c r="C164" s="19"/>
      <c r="D164" s="19"/>
      <c r="E164" s="19"/>
      <c r="F164" s="19"/>
      <c r="G164" s="19"/>
      <c r="H164" s="18"/>
      <c r="I164" s="18" t="str">
        <f t="shared" ca="1" si="3"/>
        <v/>
      </c>
      <c r="J164" s="19" t="str">
        <f t="shared" ca="1" si="0"/>
        <v/>
      </c>
      <c r="K164" s="19" t="str">
        <f t="shared" ref="K164:P164" ca="1" si="163">IFERROR(__xludf.DUMMYFUNCTION("iferror(lower(regexreplace(substitute(trim(if(B164="""",""empty"",B164)),"" "",""_""),""[^A-Za-z0-9_]"","""")))"),"empty")</f>
        <v>empty</v>
      </c>
      <c r="L164" s="19" t="str">
        <f t="shared" ca="1" si="163"/>
        <v>empty</v>
      </c>
      <c r="M164" s="19" t="str">
        <f t="shared" ca="1" si="163"/>
        <v>empty</v>
      </c>
      <c r="N164" s="19" t="str">
        <f t="shared" ca="1" si="163"/>
        <v>empty</v>
      </c>
      <c r="O164" s="19" t="str">
        <f t="shared" ca="1" si="163"/>
        <v>empty</v>
      </c>
      <c r="P164" s="19" t="str">
        <f t="shared" ca="1" si="163"/>
        <v>empty</v>
      </c>
      <c r="Q164" s="15" t="str">
        <f t="shared" ca="1" si="2"/>
        <v>www.looney.com</v>
      </c>
    </row>
    <row r="165" spans="1:17" ht="15.75" customHeight="1" x14ac:dyDescent="0.25">
      <c r="A165" s="19"/>
      <c r="B165" s="19"/>
      <c r="C165" s="19"/>
      <c r="D165" s="19"/>
      <c r="E165" s="19"/>
      <c r="F165" s="19"/>
      <c r="G165" s="19"/>
      <c r="H165" s="18"/>
      <c r="I165" s="18" t="str">
        <f t="shared" ca="1" si="3"/>
        <v/>
      </c>
      <c r="J165" s="19" t="str">
        <f t="shared" ca="1" si="0"/>
        <v/>
      </c>
      <c r="K165" s="19" t="str">
        <f t="shared" ref="K165:P165" ca="1" si="164">IFERROR(__xludf.DUMMYFUNCTION("iferror(lower(regexreplace(substitute(trim(if(B165="""",""empty"",B165)),"" "",""_""),""[^A-Za-z0-9_]"","""")))"),"empty")</f>
        <v>empty</v>
      </c>
      <c r="L165" s="19" t="str">
        <f t="shared" ca="1" si="164"/>
        <v>empty</v>
      </c>
      <c r="M165" s="19" t="str">
        <f t="shared" ca="1" si="164"/>
        <v>empty</v>
      </c>
      <c r="N165" s="19" t="str">
        <f t="shared" ca="1" si="164"/>
        <v>empty</v>
      </c>
      <c r="O165" s="19" t="str">
        <f t="shared" ca="1" si="164"/>
        <v>empty</v>
      </c>
      <c r="P165" s="19" t="str">
        <f t="shared" ca="1" si="164"/>
        <v>empty</v>
      </c>
      <c r="Q165" s="15" t="str">
        <f t="shared" ca="1" si="2"/>
        <v>www.looney.com</v>
      </c>
    </row>
    <row r="166" spans="1:17" ht="15.75" customHeight="1" x14ac:dyDescent="0.25">
      <c r="A166" s="19"/>
      <c r="B166" s="19"/>
      <c r="C166" s="19"/>
      <c r="D166" s="19"/>
      <c r="E166" s="19"/>
      <c r="F166" s="19"/>
      <c r="G166" s="19"/>
      <c r="H166" s="18"/>
      <c r="I166" s="18" t="str">
        <f t="shared" ca="1" si="3"/>
        <v/>
      </c>
      <c r="J166" s="19" t="str">
        <f t="shared" ca="1" si="0"/>
        <v/>
      </c>
      <c r="K166" s="19" t="str">
        <f t="shared" ref="K166:P166" ca="1" si="165">IFERROR(__xludf.DUMMYFUNCTION("iferror(lower(regexreplace(substitute(trim(if(B166="""",""empty"",B166)),"" "",""_""),""[^A-Za-z0-9_]"","""")))"),"empty")</f>
        <v>empty</v>
      </c>
      <c r="L166" s="19" t="str">
        <f t="shared" ca="1" si="165"/>
        <v>empty</v>
      </c>
      <c r="M166" s="19" t="str">
        <f t="shared" ca="1" si="165"/>
        <v>empty</v>
      </c>
      <c r="N166" s="19" t="str">
        <f t="shared" ca="1" si="165"/>
        <v>empty</v>
      </c>
      <c r="O166" s="19" t="str">
        <f t="shared" ca="1" si="165"/>
        <v>empty</v>
      </c>
      <c r="P166" s="19" t="str">
        <f t="shared" ca="1" si="165"/>
        <v>empty</v>
      </c>
      <c r="Q166" s="15" t="str">
        <f t="shared" ca="1" si="2"/>
        <v>www.looney.com</v>
      </c>
    </row>
    <row r="167" spans="1:17" ht="15.75" customHeight="1" x14ac:dyDescent="0.25">
      <c r="A167" s="19"/>
      <c r="B167" s="19"/>
      <c r="C167" s="19"/>
      <c r="D167" s="19"/>
      <c r="E167" s="19"/>
      <c r="F167" s="19"/>
      <c r="G167" s="19"/>
      <c r="H167" s="18"/>
      <c r="I167" s="18" t="str">
        <f t="shared" ca="1" si="3"/>
        <v/>
      </c>
      <c r="J167" s="19" t="str">
        <f t="shared" ca="1" si="0"/>
        <v/>
      </c>
      <c r="K167" s="19" t="str">
        <f t="shared" ref="K167:P167" ca="1" si="166">IFERROR(__xludf.DUMMYFUNCTION("iferror(lower(regexreplace(substitute(trim(if(B167="""",""empty"",B167)),"" "",""_""),""[^A-Za-z0-9_]"","""")))"),"empty")</f>
        <v>empty</v>
      </c>
      <c r="L167" s="19" t="str">
        <f t="shared" ca="1" si="166"/>
        <v>empty</v>
      </c>
      <c r="M167" s="19" t="str">
        <f t="shared" ca="1" si="166"/>
        <v>empty</v>
      </c>
      <c r="N167" s="19" t="str">
        <f t="shared" ca="1" si="166"/>
        <v>empty</v>
      </c>
      <c r="O167" s="19" t="str">
        <f t="shared" ca="1" si="166"/>
        <v>empty</v>
      </c>
      <c r="P167" s="19" t="str">
        <f t="shared" ca="1" si="166"/>
        <v>empty</v>
      </c>
      <c r="Q167" s="15" t="str">
        <f t="shared" ca="1" si="2"/>
        <v>www.looney.com</v>
      </c>
    </row>
    <row r="168" spans="1:17" ht="15.75" customHeight="1" x14ac:dyDescent="0.25">
      <c r="A168" s="19"/>
      <c r="B168" s="19"/>
      <c r="C168" s="19"/>
      <c r="D168" s="19"/>
      <c r="E168" s="19"/>
      <c r="F168" s="19"/>
      <c r="G168" s="19"/>
      <c r="H168" s="18"/>
      <c r="I168" s="18" t="str">
        <f t="shared" ca="1" si="3"/>
        <v/>
      </c>
      <c r="J168" s="19" t="str">
        <f t="shared" ca="1" si="0"/>
        <v/>
      </c>
      <c r="K168" s="19" t="str">
        <f t="shared" ref="K168:P168" ca="1" si="167">IFERROR(__xludf.DUMMYFUNCTION("iferror(lower(regexreplace(substitute(trim(if(B168="""",""empty"",B168)),"" "",""_""),""[^A-Za-z0-9_]"","""")))"),"empty")</f>
        <v>empty</v>
      </c>
      <c r="L168" s="19" t="str">
        <f t="shared" ca="1" si="167"/>
        <v>empty</v>
      </c>
      <c r="M168" s="19" t="str">
        <f t="shared" ca="1" si="167"/>
        <v>empty</v>
      </c>
      <c r="N168" s="19" t="str">
        <f t="shared" ca="1" si="167"/>
        <v>empty</v>
      </c>
      <c r="O168" s="19" t="str">
        <f t="shared" ca="1" si="167"/>
        <v>empty</v>
      </c>
      <c r="P168" s="19" t="str">
        <f t="shared" ca="1" si="167"/>
        <v>empty</v>
      </c>
      <c r="Q168" s="15" t="str">
        <f t="shared" ca="1" si="2"/>
        <v>www.looney.com</v>
      </c>
    </row>
    <row r="169" spans="1:17" ht="15.75" customHeight="1" x14ac:dyDescent="0.25">
      <c r="A169" s="19"/>
      <c r="B169" s="19"/>
      <c r="C169" s="19"/>
      <c r="D169" s="19"/>
      <c r="E169" s="19"/>
      <c r="F169" s="19"/>
      <c r="G169" s="19"/>
      <c r="H169" s="18"/>
      <c r="I169" s="18" t="str">
        <f t="shared" ca="1" si="3"/>
        <v/>
      </c>
      <c r="J169" s="19" t="str">
        <f t="shared" ca="1" si="0"/>
        <v/>
      </c>
      <c r="K169" s="19" t="str">
        <f t="shared" ref="K169:P169" ca="1" si="168">IFERROR(__xludf.DUMMYFUNCTION("iferror(lower(regexreplace(substitute(trim(if(B169="""",""empty"",B169)),"" "",""_""),""[^A-Za-z0-9_]"","""")))"),"empty")</f>
        <v>empty</v>
      </c>
      <c r="L169" s="19" t="str">
        <f t="shared" ca="1" si="168"/>
        <v>empty</v>
      </c>
      <c r="M169" s="19" t="str">
        <f t="shared" ca="1" si="168"/>
        <v>empty</v>
      </c>
      <c r="N169" s="19" t="str">
        <f t="shared" ca="1" si="168"/>
        <v>empty</v>
      </c>
      <c r="O169" s="19" t="str">
        <f t="shared" ca="1" si="168"/>
        <v>empty</v>
      </c>
      <c r="P169" s="19" t="str">
        <f t="shared" ca="1" si="168"/>
        <v>empty</v>
      </c>
      <c r="Q169" s="15" t="str">
        <f t="shared" ca="1" si="2"/>
        <v>www.looney.com</v>
      </c>
    </row>
    <row r="170" spans="1:17" ht="15.75" customHeight="1" x14ac:dyDescent="0.25">
      <c r="A170" s="19"/>
      <c r="B170" s="19"/>
      <c r="C170" s="19"/>
      <c r="D170" s="19"/>
      <c r="E170" s="19"/>
      <c r="F170" s="19"/>
      <c r="G170" s="19"/>
      <c r="H170" s="18"/>
      <c r="I170" s="18" t="str">
        <f t="shared" ca="1" si="3"/>
        <v/>
      </c>
      <c r="J170" s="19" t="str">
        <f t="shared" ca="1" si="0"/>
        <v/>
      </c>
      <c r="K170" s="19" t="str">
        <f t="shared" ref="K170:P170" ca="1" si="169">IFERROR(__xludf.DUMMYFUNCTION("iferror(lower(regexreplace(substitute(trim(if(B170="""",""empty"",B170)),"" "",""_""),""[^A-Za-z0-9_]"","""")))"),"empty")</f>
        <v>empty</v>
      </c>
      <c r="L170" s="19" t="str">
        <f t="shared" ca="1" si="169"/>
        <v>empty</v>
      </c>
      <c r="M170" s="19" t="str">
        <f t="shared" ca="1" si="169"/>
        <v>empty</v>
      </c>
      <c r="N170" s="19" t="str">
        <f t="shared" ca="1" si="169"/>
        <v>empty</v>
      </c>
      <c r="O170" s="19" t="str">
        <f t="shared" ca="1" si="169"/>
        <v>empty</v>
      </c>
      <c r="P170" s="19" t="str">
        <f t="shared" ca="1" si="169"/>
        <v>empty</v>
      </c>
      <c r="Q170" s="15" t="str">
        <f t="shared" ca="1" si="2"/>
        <v>www.looney.com</v>
      </c>
    </row>
    <row r="171" spans="1:17" ht="15.75" customHeight="1" x14ac:dyDescent="0.25">
      <c r="A171" s="19"/>
      <c r="B171" s="19"/>
      <c r="C171" s="19"/>
      <c r="D171" s="19"/>
      <c r="E171" s="19"/>
      <c r="F171" s="19"/>
      <c r="G171" s="19"/>
      <c r="H171" s="18"/>
      <c r="I171" s="18" t="str">
        <f t="shared" ca="1" si="3"/>
        <v/>
      </c>
      <c r="J171" s="19" t="str">
        <f t="shared" ca="1" si="0"/>
        <v/>
      </c>
      <c r="K171" s="19" t="str">
        <f t="shared" ref="K171:P171" ca="1" si="170">IFERROR(__xludf.DUMMYFUNCTION("iferror(lower(regexreplace(substitute(trim(if(B171="""",""empty"",B171)),"" "",""_""),""[^A-Za-z0-9_]"","""")))"),"empty")</f>
        <v>empty</v>
      </c>
      <c r="L171" s="19" t="str">
        <f t="shared" ca="1" si="170"/>
        <v>empty</v>
      </c>
      <c r="M171" s="19" t="str">
        <f t="shared" ca="1" si="170"/>
        <v>empty</v>
      </c>
      <c r="N171" s="19" t="str">
        <f t="shared" ca="1" si="170"/>
        <v>empty</v>
      </c>
      <c r="O171" s="19" t="str">
        <f t="shared" ca="1" si="170"/>
        <v>empty</v>
      </c>
      <c r="P171" s="19" t="str">
        <f t="shared" ca="1" si="170"/>
        <v>empty</v>
      </c>
      <c r="Q171" s="15" t="str">
        <f t="shared" ca="1" si="2"/>
        <v>www.looney.com</v>
      </c>
    </row>
    <row r="172" spans="1:17" ht="15.75" customHeight="1" x14ac:dyDescent="0.25">
      <c r="A172" s="19"/>
      <c r="B172" s="19"/>
      <c r="C172" s="19"/>
      <c r="D172" s="19"/>
      <c r="E172" s="19"/>
      <c r="F172" s="19"/>
      <c r="G172" s="19"/>
      <c r="H172" s="18"/>
      <c r="I172" s="18" t="str">
        <f t="shared" ca="1" si="3"/>
        <v/>
      </c>
      <c r="J172" s="19" t="str">
        <f t="shared" ca="1" si="0"/>
        <v/>
      </c>
      <c r="K172" s="19" t="str">
        <f t="shared" ref="K172:P172" ca="1" si="171">IFERROR(__xludf.DUMMYFUNCTION("iferror(lower(regexreplace(substitute(trim(if(B172="""",""empty"",B172)),"" "",""_""),""[^A-Za-z0-9_]"","""")))"),"empty")</f>
        <v>empty</v>
      </c>
      <c r="L172" s="19" t="str">
        <f t="shared" ca="1" si="171"/>
        <v>empty</v>
      </c>
      <c r="M172" s="19" t="str">
        <f t="shared" ca="1" si="171"/>
        <v>empty</v>
      </c>
      <c r="N172" s="19" t="str">
        <f t="shared" ca="1" si="171"/>
        <v>empty</v>
      </c>
      <c r="O172" s="19" t="str">
        <f t="shared" ca="1" si="171"/>
        <v>empty</v>
      </c>
      <c r="P172" s="19" t="str">
        <f t="shared" ca="1" si="171"/>
        <v>empty</v>
      </c>
      <c r="Q172" s="15" t="str">
        <f t="shared" ca="1" si="2"/>
        <v>www.looney.com</v>
      </c>
    </row>
    <row r="173" spans="1:17" ht="15.75" customHeight="1" x14ac:dyDescent="0.25">
      <c r="A173" s="19"/>
      <c r="B173" s="19"/>
      <c r="C173" s="19"/>
      <c r="D173" s="19"/>
      <c r="E173" s="19"/>
      <c r="F173" s="19"/>
      <c r="G173" s="19"/>
      <c r="H173" s="18"/>
      <c r="I173" s="18" t="str">
        <f t="shared" ca="1" si="3"/>
        <v/>
      </c>
      <c r="J173" s="19" t="str">
        <f t="shared" ca="1" si="0"/>
        <v/>
      </c>
      <c r="K173" s="19" t="str">
        <f t="shared" ref="K173:P173" ca="1" si="172">IFERROR(__xludf.DUMMYFUNCTION("iferror(lower(regexreplace(substitute(trim(if(B173="""",""empty"",B173)),"" "",""_""),""[^A-Za-z0-9_]"","""")))"),"empty")</f>
        <v>empty</v>
      </c>
      <c r="L173" s="19" t="str">
        <f t="shared" ca="1" si="172"/>
        <v>empty</v>
      </c>
      <c r="M173" s="19" t="str">
        <f t="shared" ca="1" si="172"/>
        <v>empty</v>
      </c>
      <c r="N173" s="19" t="str">
        <f t="shared" ca="1" si="172"/>
        <v>empty</v>
      </c>
      <c r="O173" s="19" t="str">
        <f t="shared" ca="1" si="172"/>
        <v>empty</v>
      </c>
      <c r="P173" s="19" t="str">
        <f t="shared" ca="1" si="172"/>
        <v>empty</v>
      </c>
      <c r="Q173" s="15" t="str">
        <f t="shared" ca="1" si="2"/>
        <v>www.looney.com</v>
      </c>
    </row>
    <row r="174" spans="1:17" ht="15.75" customHeight="1" x14ac:dyDescent="0.25">
      <c r="A174" s="19"/>
      <c r="B174" s="19"/>
      <c r="C174" s="19"/>
      <c r="D174" s="19"/>
      <c r="E174" s="19"/>
      <c r="F174" s="19"/>
      <c r="G174" s="19"/>
      <c r="H174" s="18"/>
      <c r="I174" s="18" t="str">
        <f t="shared" ca="1" si="3"/>
        <v/>
      </c>
      <c r="J174" s="19" t="str">
        <f t="shared" ca="1" si="0"/>
        <v/>
      </c>
      <c r="K174" s="19" t="str">
        <f t="shared" ref="K174:P174" ca="1" si="173">IFERROR(__xludf.DUMMYFUNCTION("iferror(lower(regexreplace(substitute(trim(if(B174="""",""empty"",B174)),"" "",""_""),""[^A-Za-z0-9_]"","""")))"),"empty")</f>
        <v>empty</v>
      </c>
      <c r="L174" s="19" t="str">
        <f t="shared" ca="1" si="173"/>
        <v>empty</v>
      </c>
      <c r="M174" s="19" t="str">
        <f t="shared" ca="1" si="173"/>
        <v>empty</v>
      </c>
      <c r="N174" s="19" t="str">
        <f t="shared" ca="1" si="173"/>
        <v>empty</v>
      </c>
      <c r="O174" s="19" t="str">
        <f t="shared" ca="1" si="173"/>
        <v>empty</v>
      </c>
      <c r="P174" s="19" t="str">
        <f t="shared" ca="1" si="173"/>
        <v>empty</v>
      </c>
      <c r="Q174" s="15" t="str">
        <f t="shared" ca="1" si="2"/>
        <v>www.looney.com</v>
      </c>
    </row>
    <row r="175" spans="1:17" ht="15.75" customHeight="1" x14ac:dyDescent="0.25">
      <c r="A175" s="19"/>
      <c r="B175" s="19"/>
      <c r="C175" s="19"/>
      <c r="D175" s="19"/>
      <c r="E175" s="19"/>
      <c r="F175" s="19"/>
      <c r="G175" s="19"/>
      <c r="H175" s="18"/>
      <c r="I175" s="18" t="str">
        <f t="shared" ca="1" si="3"/>
        <v/>
      </c>
      <c r="J175" s="19" t="str">
        <f t="shared" ca="1" si="0"/>
        <v/>
      </c>
      <c r="K175" s="19" t="str">
        <f t="shared" ref="K175:P175" ca="1" si="174">IFERROR(__xludf.DUMMYFUNCTION("iferror(lower(regexreplace(substitute(trim(if(B175="""",""empty"",B175)),"" "",""_""),""[^A-Za-z0-9_]"","""")))"),"empty")</f>
        <v>empty</v>
      </c>
      <c r="L175" s="19" t="str">
        <f t="shared" ca="1" si="174"/>
        <v>empty</v>
      </c>
      <c r="M175" s="19" t="str">
        <f t="shared" ca="1" si="174"/>
        <v>empty</v>
      </c>
      <c r="N175" s="19" t="str">
        <f t="shared" ca="1" si="174"/>
        <v>empty</v>
      </c>
      <c r="O175" s="19" t="str">
        <f t="shared" ca="1" si="174"/>
        <v>empty</v>
      </c>
      <c r="P175" s="19" t="str">
        <f t="shared" ca="1" si="174"/>
        <v>empty</v>
      </c>
      <c r="Q175" s="15" t="str">
        <f t="shared" ca="1" si="2"/>
        <v>www.looney.com</v>
      </c>
    </row>
    <row r="176" spans="1:17" ht="15.75" customHeight="1" x14ac:dyDescent="0.25">
      <c r="A176" s="19"/>
      <c r="B176" s="19"/>
      <c r="C176" s="19"/>
      <c r="D176" s="19"/>
      <c r="E176" s="19"/>
      <c r="F176" s="19"/>
      <c r="G176" s="19"/>
      <c r="H176" s="18"/>
      <c r="I176" s="18" t="str">
        <f t="shared" ca="1" si="3"/>
        <v/>
      </c>
      <c r="J176" s="19" t="str">
        <f t="shared" ca="1" si="0"/>
        <v/>
      </c>
      <c r="K176" s="19" t="str">
        <f t="shared" ref="K176:P176" ca="1" si="175">IFERROR(__xludf.DUMMYFUNCTION("iferror(lower(regexreplace(substitute(trim(if(B176="""",""empty"",B176)),"" "",""_""),""[^A-Za-z0-9_]"","""")))"),"empty")</f>
        <v>empty</v>
      </c>
      <c r="L176" s="19" t="str">
        <f t="shared" ca="1" si="175"/>
        <v>empty</v>
      </c>
      <c r="M176" s="19" t="str">
        <f t="shared" ca="1" si="175"/>
        <v>empty</v>
      </c>
      <c r="N176" s="19" t="str">
        <f t="shared" ca="1" si="175"/>
        <v>empty</v>
      </c>
      <c r="O176" s="19" t="str">
        <f t="shared" ca="1" si="175"/>
        <v>empty</v>
      </c>
      <c r="P176" s="19" t="str">
        <f t="shared" ca="1" si="175"/>
        <v>empty</v>
      </c>
      <c r="Q176" s="15" t="str">
        <f t="shared" ca="1" si="2"/>
        <v>www.looney.com</v>
      </c>
    </row>
    <row r="177" spans="1:17" ht="15.75" customHeight="1" x14ac:dyDescent="0.25">
      <c r="A177" s="19"/>
      <c r="B177" s="19"/>
      <c r="C177" s="19"/>
      <c r="D177" s="19"/>
      <c r="E177" s="19"/>
      <c r="F177" s="19"/>
      <c r="G177" s="19"/>
      <c r="H177" s="18"/>
      <c r="I177" s="18" t="str">
        <f t="shared" ca="1" si="3"/>
        <v/>
      </c>
      <c r="J177" s="19" t="str">
        <f t="shared" ca="1" si="0"/>
        <v/>
      </c>
      <c r="K177" s="19" t="str">
        <f t="shared" ref="K177:P177" ca="1" si="176">IFERROR(__xludf.DUMMYFUNCTION("iferror(lower(regexreplace(substitute(trim(if(B177="""",""empty"",B177)),"" "",""_""),""[^A-Za-z0-9_]"","""")))"),"empty")</f>
        <v>empty</v>
      </c>
      <c r="L177" s="19" t="str">
        <f t="shared" ca="1" si="176"/>
        <v>empty</v>
      </c>
      <c r="M177" s="19" t="str">
        <f t="shared" ca="1" si="176"/>
        <v>empty</v>
      </c>
      <c r="N177" s="19" t="str">
        <f t="shared" ca="1" si="176"/>
        <v>empty</v>
      </c>
      <c r="O177" s="19" t="str">
        <f t="shared" ca="1" si="176"/>
        <v>empty</v>
      </c>
      <c r="P177" s="19" t="str">
        <f t="shared" ca="1" si="176"/>
        <v>empty</v>
      </c>
      <c r="Q177" s="15" t="str">
        <f t="shared" ca="1" si="2"/>
        <v>www.looney.com</v>
      </c>
    </row>
    <row r="178" spans="1:17" ht="15.75" customHeight="1" x14ac:dyDescent="0.25">
      <c r="A178" s="19"/>
      <c r="B178" s="19"/>
      <c r="C178" s="19"/>
      <c r="D178" s="19"/>
      <c r="E178" s="19"/>
      <c r="F178" s="19"/>
      <c r="G178" s="19"/>
      <c r="H178" s="18"/>
      <c r="I178" s="18" t="str">
        <f t="shared" ca="1" si="3"/>
        <v/>
      </c>
      <c r="J178" s="19" t="str">
        <f t="shared" ca="1" si="0"/>
        <v/>
      </c>
      <c r="K178" s="19" t="str">
        <f t="shared" ref="K178:P178" ca="1" si="177">IFERROR(__xludf.DUMMYFUNCTION("iferror(lower(regexreplace(substitute(trim(if(B178="""",""empty"",B178)),"" "",""_""),""[^A-Za-z0-9_]"","""")))"),"empty")</f>
        <v>empty</v>
      </c>
      <c r="L178" s="19" t="str">
        <f t="shared" ca="1" si="177"/>
        <v>empty</v>
      </c>
      <c r="M178" s="19" t="str">
        <f t="shared" ca="1" si="177"/>
        <v>empty</v>
      </c>
      <c r="N178" s="19" t="str">
        <f t="shared" ca="1" si="177"/>
        <v>empty</v>
      </c>
      <c r="O178" s="19" t="str">
        <f t="shared" ca="1" si="177"/>
        <v>empty</v>
      </c>
      <c r="P178" s="19" t="str">
        <f t="shared" ca="1" si="177"/>
        <v>empty</v>
      </c>
      <c r="Q178" s="15" t="str">
        <f t="shared" ca="1" si="2"/>
        <v>www.looney.com</v>
      </c>
    </row>
    <row r="179" spans="1:17" ht="15.75" customHeight="1" x14ac:dyDescent="0.25">
      <c r="A179" s="19"/>
      <c r="B179" s="19"/>
      <c r="C179" s="19"/>
      <c r="D179" s="19"/>
      <c r="E179" s="19"/>
      <c r="F179" s="19"/>
      <c r="G179" s="19"/>
      <c r="H179" s="18"/>
      <c r="I179" s="18" t="str">
        <f t="shared" ca="1" si="3"/>
        <v/>
      </c>
      <c r="J179" s="19" t="str">
        <f t="shared" ca="1" si="0"/>
        <v/>
      </c>
      <c r="K179" s="19" t="str">
        <f t="shared" ref="K179:P179" ca="1" si="178">IFERROR(__xludf.DUMMYFUNCTION("iferror(lower(regexreplace(substitute(trim(if(B179="""",""empty"",B179)),"" "",""_""),""[^A-Za-z0-9_]"","""")))"),"empty")</f>
        <v>empty</v>
      </c>
      <c r="L179" s="19" t="str">
        <f t="shared" ca="1" si="178"/>
        <v>empty</v>
      </c>
      <c r="M179" s="19" t="str">
        <f t="shared" ca="1" si="178"/>
        <v>empty</v>
      </c>
      <c r="N179" s="19" t="str">
        <f t="shared" ca="1" si="178"/>
        <v>empty</v>
      </c>
      <c r="O179" s="19" t="str">
        <f t="shared" ca="1" si="178"/>
        <v>empty</v>
      </c>
      <c r="P179" s="19" t="str">
        <f t="shared" ca="1" si="178"/>
        <v>empty</v>
      </c>
      <c r="Q179" s="15" t="str">
        <f t="shared" ca="1" si="2"/>
        <v>www.looney.com</v>
      </c>
    </row>
    <row r="180" spans="1:17" ht="15.75" customHeight="1" x14ac:dyDescent="0.25">
      <c r="A180" s="19"/>
      <c r="B180" s="19"/>
      <c r="C180" s="19"/>
      <c r="D180" s="19"/>
      <c r="E180" s="19"/>
      <c r="F180" s="19"/>
      <c r="G180" s="19"/>
      <c r="H180" s="18"/>
      <c r="I180" s="18" t="str">
        <f t="shared" ca="1" si="3"/>
        <v/>
      </c>
      <c r="J180" s="19" t="str">
        <f t="shared" ca="1" si="0"/>
        <v/>
      </c>
      <c r="K180" s="19" t="str">
        <f t="shared" ref="K180:P180" ca="1" si="179">IFERROR(__xludf.DUMMYFUNCTION("iferror(lower(regexreplace(substitute(trim(if(B180="""",""empty"",B180)),"" "",""_""),""[^A-Za-z0-9_]"","""")))"),"empty")</f>
        <v>empty</v>
      </c>
      <c r="L180" s="19" t="str">
        <f t="shared" ca="1" si="179"/>
        <v>empty</v>
      </c>
      <c r="M180" s="19" t="str">
        <f t="shared" ca="1" si="179"/>
        <v>empty</v>
      </c>
      <c r="N180" s="19" t="str">
        <f t="shared" ca="1" si="179"/>
        <v>empty</v>
      </c>
      <c r="O180" s="19" t="str">
        <f t="shared" ca="1" si="179"/>
        <v>empty</v>
      </c>
      <c r="P180" s="19" t="str">
        <f t="shared" ca="1" si="179"/>
        <v>empty</v>
      </c>
      <c r="Q180" s="15" t="str">
        <f t="shared" ca="1" si="2"/>
        <v>www.looney.com</v>
      </c>
    </row>
    <row r="181" spans="1:17" ht="15.75" customHeight="1" x14ac:dyDescent="0.25">
      <c r="A181" s="19"/>
      <c r="B181" s="19"/>
      <c r="C181" s="19"/>
      <c r="D181" s="19"/>
      <c r="E181" s="19"/>
      <c r="F181" s="19"/>
      <c r="G181" s="19"/>
      <c r="H181" s="18"/>
      <c r="I181" s="18" t="str">
        <f t="shared" ca="1" si="3"/>
        <v/>
      </c>
      <c r="J181" s="19" t="str">
        <f t="shared" ca="1" si="0"/>
        <v/>
      </c>
      <c r="K181" s="19" t="str">
        <f t="shared" ref="K181:P181" ca="1" si="180">IFERROR(__xludf.DUMMYFUNCTION("iferror(lower(regexreplace(substitute(trim(if(B181="""",""empty"",B181)),"" "",""_""),""[^A-Za-z0-9_]"","""")))"),"empty")</f>
        <v>empty</v>
      </c>
      <c r="L181" s="19" t="str">
        <f t="shared" ca="1" si="180"/>
        <v>empty</v>
      </c>
      <c r="M181" s="19" t="str">
        <f t="shared" ca="1" si="180"/>
        <v>empty</v>
      </c>
      <c r="N181" s="19" t="str">
        <f t="shared" ca="1" si="180"/>
        <v>empty</v>
      </c>
      <c r="O181" s="19" t="str">
        <f t="shared" ca="1" si="180"/>
        <v>empty</v>
      </c>
      <c r="P181" s="19" t="str">
        <f t="shared" ca="1" si="180"/>
        <v>empty</v>
      </c>
      <c r="Q181" s="15" t="str">
        <f t="shared" ca="1" si="2"/>
        <v>www.looney.com</v>
      </c>
    </row>
    <row r="182" spans="1:17" ht="15.75" customHeight="1" x14ac:dyDescent="0.25">
      <c r="A182" s="19"/>
      <c r="B182" s="19"/>
      <c r="C182" s="19"/>
      <c r="D182" s="19"/>
      <c r="E182" s="19"/>
      <c r="F182" s="19"/>
      <c r="G182" s="19"/>
      <c r="H182" s="18"/>
      <c r="I182" s="18" t="str">
        <f t="shared" ca="1" si="3"/>
        <v/>
      </c>
      <c r="J182" s="19" t="str">
        <f t="shared" ca="1" si="0"/>
        <v/>
      </c>
      <c r="K182" s="19" t="str">
        <f t="shared" ref="K182:P182" ca="1" si="181">IFERROR(__xludf.DUMMYFUNCTION("iferror(lower(regexreplace(substitute(trim(if(B182="""",""empty"",B182)),"" "",""_""),""[^A-Za-z0-9_]"","""")))"),"empty")</f>
        <v>empty</v>
      </c>
      <c r="L182" s="19" t="str">
        <f t="shared" ca="1" si="181"/>
        <v>empty</v>
      </c>
      <c r="M182" s="19" t="str">
        <f t="shared" ca="1" si="181"/>
        <v>empty</v>
      </c>
      <c r="N182" s="19" t="str">
        <f t="shared" ca="1" si="181"/>
        <v>empty</v>
      </c>
      <c r="O182" s="19" t="str">
        <f t="shared" ca="1" si="181"/>
        <v>empty</v>
      </c>
      <c r="P182" s="19" t="str">
        <f t="shared" ca="1" si="181"/>
        <v>empty</v>
      </c>
      <c r="Q182" s="15" t="str">
        <f t="shared" ca="1" si="2"/>
        <v>www.looney.com</v>
      </c>
    </row>
    <row r="183" spans="1:17" ht="15.75" customHeight="1" x14ac:dyDescent="0.25">
      <c r="A183" s="19"/>
      <c r="B183" s="19"/>
      <c r="C183" s="19"/>
      <c r="D183" s="19"/>
      <c r="E183" s="19"/>
      <c r="F183" s="19"/>
      <c r="G183" s="19"/>
      <c r="H183" s="18"/>
      <c r="I183" s="18" t="str">
        <f t="shared" ca="1" si="3"/>
        <v/>
      </c>
      <c r="J183" s="19" t="str">
        <f t="shared" ca="1" si="0"/>
        <v/>
      </c>
      <c r="K183" s="19" t="str">
        <f t="shared" ref="K183:P183" ca="1" si="182">IFERROR(__xludf.DUMMYFUNCTION("iferror(lower(regexreplace(substitute(trim(if(B183="""",""empty"",B183)),"" "",""_""),""[^A-Za-z0-9_]"","""")))"),"empty")</f>
        <v>empty</v>
      </c>
      <c r="L183" s="19" t="str">
        <f t="shared" ca="1" si="182"/>
        <v>empty</v>
      </c>
      <c r="M183" s="19" t="str">
        <f t="shared" ca="1" si="182"/>
        <v>empty</v>
      </c>
      <c r="N183" s="19" t="str">
        <f t="shared" ca="1" si="182"/>
        <v>empty</v>
      </c>
      <c r="O183" s="19" t="str">
        <f t="shared" ca="1" si="182"/>
        <v>empty</v>
      </c>
      <c r="P183" s="19" t="str">
        <f t="shared" ca="1" si="182"/>
        <v>empty</v>
      </c>
      <c r="Q183" s="15" t="str">
        <f t="shared" ca="1" si="2"/>
        <v>www.looney.com</v>
      </c>
    </row>
    <row r="184" spans="1:17" ht="15.75" customHeight="1" x14ac:dyDescent="0.25">
      <c r="A184" s="19"/>
      <c r="B184" s="19"/>
      <c r="C184" s="19"/>
      <c r="D184" s="19"/>
      <c r="E184" s="19"/>
      <c r="F184" s="19"/>
      <c r="G184" s="19"/>
      <c r="H184" s="18"/>
      <c r="I184" s="18" t="str">
        <f t="shared" ca="1" si="3"/>
        <v/>
      </c>
      <c r="J184" s="19" t="str">
        <f t="shared" ca="1" si="0"/>
        <v/>
      </c>
      <c r="K184" s="19" t="str">
        <f t="shared" ref="K184:P184" ca="1" si="183">IFERROR(__xludf.DUMMYFUNCTION("iferror(lower(regexreplace(substitute(trim(if(B184="""",""empty"",B184)),"" "",""_""),""[^A-Za-z0-9_]"","""")))"),"empty")</f>
        <v>empty</v>
      </c>
      <c r="L184" s="19" t="str">
        <f t="shared" ca="1" si="183"/>
        <v>empty</v>
      </c>
      <c r="M184" s="19" t="str">
        <f t="shared" ca="1" si="183"/>
        <v>empty</v>
      </c>
      <c r="N184" s="19" t="str">
        <f t="shared" ca="1" si="183"/>
        <v>empty</v>
      </c>
      <c r="O184" s="19" t="str">
        <f t="shared" ca="1" si="183"/>
        <v>empty</v>
      </c>
      <c r="P184" s="19" t="str">
        <f t="shared" ca="1" si="183"/>
        <v>empty</v>
      </c>
      <c r="Q184" s="15" t="str">
        <f t="shared" ca="1" si="2"/>
        <v>www.looney.com</v>
      </c>
    </row>
    <row r="185" spans="1:17" ht="15.75" customHeight="1" x14ac:dyDescent="0.25">
      <c r="A185" s="19"/>
      <c r="B185" s="19"/>
      <c r="C185" s="19"/>
      <c r="D185" s="19"/>
      <c r="E185" s="19"/>
      <c r="F185" s="19"/>
      <c r="G185" s="19"/>
      <c r="H185" s="18"/>
      <c r="I185" s="18" t="str">
        <f t="shared" ca="1" si="3"/>
        <v/>
      </c>
      <c r="J185" s="19" t="str">
        <f t="shared" ca="1" si="0"/>
        <v/>
      </c>
      <c r="K185" s="19" t="str">
        <f t="shared" ref="K185:P185" ca="1" si="184">IFERROR(__xludf.DUMMYFUNCTION("iferror(lower(regexreplace(substitute(trim(if(B185="""",""empty"",B185)),"" "",""_""),""[^A-Za-z0-9_]"","""")))"),"empty")</f>
        <v>empty</v>
      </c>
      <c r="L185" s="19" t="str">
        <f t="shared" ca="1" si="184"/>
        <v>empty</v>
      </c>
      <c r="M185" s="19" t="str">
        <f t="shared" ca="1" si="184"/>
        <v>empty</v>
      </c>
      <c r="N185" s="19" t="str">
        <f t="shared" ca="1" si="184"/>
        <v>empty</v>
      </c>
      <c r="O185" s="19" t="str">
        <f t="shared" ca="1" si="184"/>
        <v>empty</v>
      </c>
      <c r="P185" s="19" t="str">
        <f t="shared" ca="1" si="184"/>
        <v>empty</v>
      </c>
      <c r="Q185" s="15" t="str">
        <f t="shared" ca="1" si="2"/>
        <v>www.looney.com</v>
      </c>
    </row>
    <row r="186" spans="1:17" ht="15.75" customHeight="1" x14ac:dyDescent="0.25">
      <c r="A186" s="19"/>
      <c r="B186" s="19"/>
      <c r="C186" s="19"/>
      <c r="D186" s="19"/>
      <c r="E186" s="19"/>
      <c r="F186" s="19"/>
      <c r="G186" s="19"/>
      <c r="H186" s="18"/>
      <c r="I186" s="18" t="str">
        <f t="shared" ca="1" si="3"/>
        <v/>
      </c>
      <c r="J186" s="19" t="str">
        <f t="shared" ca="1" si="0"/>
        <v/>
      </c>
      <c r="K186" s="19" t="str">
        <f t="shared" ref="K186:P186" ca="1" si="185">IFERROR(__xludf.DUMMYFUNCTION("iferror(lower(regexreplace(substitute(trim(if(B186="""",""empty"",B186)),"" "",""_""),""[^A-Za-z0-9_]"","""")))"),"empty")</f>
        <v>empty</v>
      </c>
      <c r="L186" s="19" t="str">
        <f t="shared" ca="1" si="185"/>
        <v>empty</v>
      </c>
      <c r="M186" s="19" t="str">
        <f t="shared" ca="1" si="185"/>
        <v>empty</v>
      </c>
      <c r="N186" s="19" t="str">
        <f t="shared" ca="1" si="185"/>
        <v>empty</v>
      </c>
      <c r="O186" s="19" t="str">
        <f t="shared" ca="1" si="185"/>
        <v>empty</v>
      </c>
      <c r="P186" s="19" t="str">
        <f t="shared" ca="1" si="185"/>
        <v>empty</v>
      </c>
      <c r="Q186" s="15" t="str">
        <f t="shared" ca="1" si="2"/>
        <v>www.looney.com</v>
      </c>
    </row>
    <row r="187" spans="1:17" ht="15.75" customHeight="1" x14ac:dyDescent="0.25">
      <c r="A187" s="19"/>
      <c r="B187" s="19"/>
      <c r="C187" s="19"/>
      <c r="D187" s="19"/>
      <c r="E187" s="19"/>
      <c r="F187" s="19"/>
      <c r="G187" s="19"/>
      <c r="H187" s="18"/>
      <c r="I187" s="18" t="str">
        <f t="shared" ca="1" si="3"/>
        <v/>
      </c>
      <c r="J187" s="19" t="str">
        <f t="shared" ca="1" si="0"/>
        <v/>
      </c>
      <c r="K187" s="19" t="str">
        <f t="shared" ref="K187:P187" ca="1" si="186">IFERROR(__xludf.DUMMYFUNCTION("iferror(lower(regexreplace(substitute(trim(if(B187="""",""empty"",B187)),"" "",""_""),""[^A-Za-z0-9_]"","""")))"),"empty")</f>
        <v>empty</v>
      </c>
      <c r="L187" s="19" t="str">
        <f t="shared" ca="1" si="186"/>
        <v>empty</v>
      </c>
      <c r="M187" s="19" t="str">
        <f t="shared" ca="1" si="186"/>
        <v>empty</v>
      </c>
      <c r="N187" s="19" t="str">
        <f t="shared" ca="1" si="186"/>
        <v>empty</v>
      </c>
      <c r="O187" s="19" t="str">
        <f t="shared" ca="1" si="186"/>
        <v>empty</v>
      </c>
      <c r="P187" s="19" t="str">
        <f t="shared" ca="1" si="186"/>
        <v>empty</v>
      </c>
      <c r="Q187" s="15" t="str">
        <f t="shared" ca="1" si="2"/>
        <v>www.looney.com</v>
      </c>
    </row>
    <row r="188" spans="1:17" ht="15.75" customHeight="1" x14ac:dyDescent="0.25">
      <c r="A188" s="19"/>
      <c r="B188" s="19"/>
      <c r="C188" s="19"/>
      <c r="D188" s="19"/>
      <c r="E188" s="19"/>
      <c r="F188" s="19"/>
      <c r="G188" s="19"/>
      <c r="H188" s="18"/>
      <c r="I188" s="18" t="str">
        <f t="shared" ca="1" si="3"/>
        <v/>
      </c>
      <c r="J188" s="19" t="str">
        <f t="shared" ca="1" si="0"/>
        <v/>
      </c>
      <c r="K188" s="19" t="str">
        <f t="shared" ref="K188:P188" ca="1" si="187">IFERROR(__xludf.DUMMYFUNCTION("iferror(lower(regexreplace(substitute(trim(if(B188="""",""empty"",B188)),"" "",""_""),""[^A-Za-z0-9_]"","""")))"),"empty")</f>
        <v>empty</v>
      </c>
      <c r="L188" s="19" t="str">
        <f t="shared" ca="1" si="187"/>
        <v>empty</v>
      </c>
      <c r="M188" s="19" t="str">
        <f t="shared" ca="1" si="187"/>
        <v>empty</v>
      </c>
      <c r="N188" s="19" t="str">
        <f t="shared" ca="1" si="187"/>
        <v>empty</v>
      </c>
      <c r="O188" s="19" t="str">
        <f t="shared" ca="1" si="187"/>
        <v>empty</v>
      </c>
      <c r="P188" s="19" t="str">
        <f t="shared" ca="1" si="187"/>
        <v>empty</v>
      </c>
      <c r="Q188" s="15" t="str">
        <f t="shared" ca="1" si="2"/>
        <v>www.looney.com</v>
      </c>
    </row>
    <row r="189" spans="1:17" ht="15.75" customHeight="1" x14ac:dyDescent="0.25">
      <c r="A189" s="19"/>
      <c r="B189" s="19"/>
      <c r="C189" s="19"/>
      <c r="D189" s="19"/>
      <c r="E189" s="19"/>
      <c r="F189" s="19"/>
      <c r="G189" s="19"/>
      <c r="H189" s="18"/>
      <c r="I189" s="18" t="str">
        <f t="shared" ca="1" si="3"/>
        <v/>
      </c>
      <c r="J189" s="19" t="str">
        <f t="shared" ca="1" si="0"/>
        <v/>
      </c>
      <c r="K189" s="19" t="str">
        <f t="shared" ref="K189:P189" ca="1" si="188">IFERROR(__xludf.DUMMYFUNCTION("iferror(lower(regexreplace(substitute(trim(if(B189="""",""empty"",B189)),"" "",""_""),""[^A-Za-z0-9_]"","""")))"),"empty")</f>
        <v>empty</v>
      </c>
      <c r="L189" s="19" t="str">
        <f t="shared" ca="1" si="188"/>
        <v>empty</v>
      </c>
      <c r="M189" s="19" t="str">
        <f t="shared" ca="1" si="188"/>
        <v>empty</v>
      </c>
      <c r="N189" s="19" t="str">
        <f t="shared" ca="1" si="188"/>
        <v>empty</v>
      </c>
      <c r="O189" s="19" t="str">
        <f t="shared" ca="1" si="188"/>
        <v>empty</v>
      </c>
      <c r="P189" s="19" t="str">
        <f t="shared" ca="1" si="188"/>
        <v>empty</v>
      </c>
      <c r="Q189" s="15" t="str">
        <f t="shared" ca="1" si="2"/>
        <v>www.looney.com</v>
      </c>
    </row>
    <row r="190" spans="1:17" ht="15.75" customHeight="1" x14ac:dyDescent="0.25">
      <c r="A190" s="19"/>
      <c r="B190" s="19"/>
      <c r="C190" s="19"/>
      <c r="D190" s="19"/>
      <c r="E190" s="19"/>
      <c r="F190" s="19"/>
      <c r="G190" s="19"/>
      <c r="H190" s="18"/>
      <c r="I190" s="18" t="str">
        <f t="shared" ca="1" si="3"/>
        <v/>
      </c>
      <c r="J190" s="19" t="str">
        <f t="shared" ca="1" si="0"/>
        <v/>
      </c>
      <c r="K190" s="19" t="str">
        <f t="shared" ref="K190:P190" ca="1" si="189">IFERROR(__xludf.DUMMYFUNCTION("iferror(lower(regexreplace(substitute(trim(if(B190="""",""empty"",B190)),"" "",""_""),""[^A-Za-z0-9_]"","""")))"),"empty")</f>
        <v>empty</v>
      </c>
      <c r="L190" s="19" t="str">
        <f t="shared" ca="1" si="189"/>
        <v>empty</v>
      </c>
      <c r="M190" s="19" t="str">
        <f t="shared" ca="1" si="189"/>
        <v>empty</v>
      </c>
      <c r="N190" s="19" t="str">
        <f t="shared" ca="1" si="189"/>
        <v>empty</v>
      </c>
      <c r="O190" s="19" t="str">
        <f t="shared" ca="1" si="189"/>
        <v>empty</v>
      </c>
      <c r="P190" s="19" t="str">
        <f t="shared" ca="1" si="189"/>
        <v>empty</v>
      </c>
      <c r="Q190" s="15" t="str">
        <f t="shared" ca="1" si="2"/>
        <v>www.looney.com</v>
      </c>
    </row>
    <row r="191" spans="1:17" ht="15.75" customHeight="1" x14ac:dyDescent="0.25">
      <c r="A191" s="19"/>
      <c r="B191" s="19"/>
      <c r="C191" s="19"/>
      <c r="D191" s="19"/>
      <c r="E191" s="19"/>
      <c r="F191" s="19"/>
      <c r="G191" s="19"/>
      <c r="H191" s="18"/>
      <c r="I191" s="18" t="str">
        <f t="shared" ca="1" si="3"/>
        <v/>
      </c>
      <c r="J191" s="19" t="str">
        <f t="shared" ca="1" si="0"/>
        <v/>
      </c>
      <c r="K191" s="19" t="str">
        <f t="shared" ref="K191:P191" ca="1" si="190">IFERROR(__xludf.DUMMYFUNCTION("iferror(lower(regexreplace(substitute(trim(if(B191="""",""empty"",B191)),"" "",""_""),""[^A-Za-z0-9_]"","""")))"),"empty")</f>
        <v>empty</v>
      </c>
      <c r="L191" s="19" t="str">
        <f t="shared" ca="1" si="190"/>
        <v>empty</v>
      </c>
      <c r="M191" s="19" t="str">
        <f t="shared" ca="1" si="190"/>
        <v>empty</v>
      </c>
      <c r="N191" s="19" t="str">
        <f t="shared" ca="1" si="190"/>
        <v>empty</v>
      </c>
      <c r="O191" s="19" t="str">
        <f t="shared" ca="1" si="190"/>
        <v>empty</v>
      </c>
      <c r="P191" s="19" t="str">
        <f t="shared" ca="1" si="190"/>
        <v>empty</v>
      </c>
      <c r="Q191" s="15" t="str">
        <f t="shared" ca="1" si="2"/>
        <v>www.looney.com</v>
      </c>
    </row>
    <row r="192" spans="1:17" ht="15.75" customHeight="1" x14ac:dyDescent="0.25">
      <c r="A192" s="19"/>
      <c r="B192" s="19"/>
      <c r="C192" s="19"/>
      <c r="D192" s="19"/>
      <c r="E192" s="19"/>
      <c r="F192" s="19"/>
      <c r="G192" s="19"/>
      <c r="H192" s="18"/>
      <c r="I192" s="18" t="str">
        <f t="shared" ca="1" si="3"/>
        <v/>
      </c>
      <c r="J192" s="19" t="str">
        <f t="shared" ca="1" si="0"/>
        <v/>
      </c>
      <c r="K192" s="19" t="str">
        <f t="shared" ref="K192:P192" ca="1" si="191">IFERROR(__xludf.DUMMYFUNCTION("iferror(lower(regexreplace(substitute(trim(if(B192="""",""empty"",B192)),"" "",""_""),""[^A-Za-z0-9_]"","""")))"),"empty")</f>
        <v>empty</v>
      </c>
      <c r="L192" s="19" t="str">
        <f t="shared" ca="1" si="191"/>
        <v>empty</v>
      </c>
      <c r="M192" s="19" t="str">
        <f t="shared" ca="1" si="191"/>
        <v>empty</v>
      </c>
      <c r="N192" s="19" t="str">
        <f t="shared" ca="1" si="191"/>
        <v>empty</v>
      </c>
      <c r="O192" s="19" t="str">
        <f t="shared" ca="1" si="191"/>
        <v>empty</v>
      </c>
      <c r="P192" s="19" t="str">
        <f t="shared" ca="1" si="191"/>
        <v>empty</v>
      </c>
      <c r="Q192" s="15" t="str">
        <f t="shared" ca="1" si="2"/>
        <v>www.looney.com</v>
      </c>
    </row>
    <row r="193" spans="1:17" ht="15.75" customHeight="1" x14ac:dyDescent="0.25">
      <c r="A193" s="19"/>
      <c r="B193" s="19"/>
      <c r="C193" s="19"/>
      <c r="D193" s="19"/>
      <c r="E193" s="19"/>
      <c r="F193" s="19"/>
      <c r="G193" s="19"/>
      <c r="H193" s="18"/>
      <c r="I193" s="18" t="str">
        <f t="shared" ca="1" si="3"/>
        <v/>
      </c>
      <c r="J193" s="19" t="str">
        <f t="shared" ca="1" si="0"/>
        <v/>
      </c>
      <c r="K193" s="19" t="str">
        <f t="shared" ref="K193:P193" ca="1" si="192">IFERROR(__xludf.DUMMYFUNCTION("iferror(lower(regexreplace(substitute(trim(if(B193="""",""empty"",B193)),"" "",""_""),""[^A-Za-z0-9_]"","""")))"),"empty")</f>
        <v>empty</v>
      </c>
      <c r="L193" s="19" t="str">
        <f t="shared" ca="1" si="192"/>
        <v>empty</v>
      </c>
      <c r="M193" s="19" t="str">
        <f t="shared" ca="1" si="192"/>
        <v>empty</v>
      </c>
      <c r="N193" s="19" t="str">
        <f t="shared" ca="1" si="192"/>
        <v>empty</v>
      </c>
      <c r="O193" s="19" t="str">
        <f t="shared" ca="1" si="192"/>
        <v>empty</v>
      </c>
      <c r="P193" s="19" t="str">
        <f t="shared" ca="1" si="192"/>
        <v>empty</v>
      </c>
      <c r="Q193" s="15" t="str">
        <f t="shared" ca="1" si="2"/>
        <v>www.looney.com</v>
      </c>
    </row>
    <row r="194" spans="1:17" ht="15.75" customHeight="1" x14ac:dyDescent="0.25">
      <c r="A194" s="19"/>
      <c r="B194" s="19"/>
      <c r="C194" s="19"/>
      <c r="D194" s="19"/>
      <c r="E194" s="19"/>
      <c r="F194" s="19"/>
      <c r="G194" s="19"/>
      <c r="H194" s="18"/>
      <c r="I194" s="18" t="str">
        <f t="shared" ca="1" si="3"/>
        <v/>
      </c>
      <c r="J194" s="19" t="str">
        <f t="shared" ca="1" si="0"/>
        <v/>
      </c>
      <c r="K194" s="19" t="str">
        <f t="shared" ref="K194:P194" ca="1" si="193">IFERROR(__xludf.DUMMYFUNCTION("iferror(lower(regexreplace(substitute(trim(if(B194="""",""empty"",B194)),"" "",""_""),""[^A-Za-z0-9_]"","""")))"),"empty")</f>
        <v>empty</v>
      </c>
      <c r="L194" s="19" t="str">
        <f t="shared" ca="1" si="193"/>
        <v>empty</v>
      </c>
      <c r="M194" s="19" t="str">
        <f t="shared" ca="1" si="193"/>
        <v>empty</v>
      </c>
      <c r="N194" s="19" t="str">
        <f t="shared" ca="1" si="193"/>
        <v>empty</v>
      </c>
      <c r="O194" s="19" t="str">
        <f t="shared" ca="1" si="193"/>
        <v>empty</v>
      </c>
      <c r="P194" s="19" t="str">
        <f t="shared" ca="1" si="193"/>
        <v>empty</v>
      </c>
      <c r="Q194" s="15" t="str">
        <f t="shared" ca="1" si="2"/>
        <v>www.looney.com</v>
      </c>
    </row>
    <row r="195" spans="1:17" ht="15.75" customHeight="1" x14ac:dyDescent="0.25">
      <c r="A195" s="19"/>
      <c r="B195" s="19"/>
      <c r="C195" s="19"/>
      <c r="D195" s="19"/>
      <c r="E195" s="19"/>
      <c r="F195" s="19"/>
      <c r="G195" s="19"/>
      <c r="H195" s="18"/>
      <c r="I195" s="18" t="str">
        <f t="shared" ca="1" si="3"/>
        <v/>
      </c>
      <c r="J195" s="19" t="str">
        <f t="shared" ca="1" si="0"/>
        <v/>
      </c>
      <c r="K195" s="19" t="str">
        <f t="shared" ref="K195:P195" ca="1" si="194">IFERROR(__xludf.DUMMYFUNCTION("iferror(lower(regexreplace(substitute(trim(if(B195="""",""empty"",B195)),"" "",""_""),""[^A-Za-z0-9_]"","""")))"),"empty")</f>
        <v>empty</v>
      </c>
      <c r="L195" s="19" t="str">
        <f t="shared" ca="1" si="194"/>
        <v>empty</v>
      </c>
      <c r="M195" s="19" t="str">
        <f t="shared" ca="1" si="194"/>
        <v>empty</v>
      </c>
      <c r="N195" s="19" t="str">
        <f t="shared" ca="1" si="194"/>
        <v>empty</v>
      </c>
      <c r="O195" s="19" t="str">
        <f t="shared" ca="1" si="194"/>
        <v>empty</v>
      </c>
      <c r="P195" s="19" t="str">
        <f t="shared" ca="1" si="194"/>
        <v>empty</v>
      </c>
      <c r="Q195" s="15" t="str">
        <f t="shared" ca="1" si="2"/>
        <v>www.looney.com</v>
      </c>
    </row>
    <row r="196" spans="1:17" ht="15.75" customHeight="1" x14ac:dyDescent="0.25">
      <c r="A196" s="19"/>
      <c r="B196" s="19"/>
      <c r="C196" s="19"/>
      <c r="D196" s="19"/>
      <c r="E196" s="19"/>
      <c r="F196" s="19"/>
      <c r="G196" s="19"/>
      <c r="H196" s="18"/>
      <c r="I196" s="18" t="str">
        <f t="shared" ca="1" si="3"/>
        <v/>
      </c>
      <c r="J196" s="19" t="str">
        <f t="shared" ca="1" si="0"/>
        <v/>
      </c>
      <c r="K196" s="19" t="str">
        <f t="shared" ref="K196:P196" ca="1" si="195">IFERROR(__xludf.DUMMYFUNCTION("iferror(lower(regexreplace(substitute(trim(if(B196="""",""empty"",B196)),"" "",""_""),""[^A-Za-z0-9_]"","""")))"),"empty")</f>
        <v>empty</v>
      </c>
      <c r="L196" s="19" t="str">
        <f t="shared" ca="1" si="195"/>
        <v>empty</v>
      </c>
      <c r="M196" s="19" t="str">
        <f t="shared" ca="1" si="195"/>
        <v>empty</v>
      </c>
      <c r="N196" s="19" t="str">
        <f t="shared" ca="1" si="195"/>
        <v>empty</v>
      </c>
      <c r="O196" s="19" t="str">
        <f t="shared" ca="1" si="195"/>
        <v>empty</v>
      </c>
      <c r="P196" s="19" t="str">
        <f t="shared" ca="1" si="195"/>
        <v>empty</v>
      </c>
      <c r="Q196" s="15" t="str">
        <f t="shared" ca="1" si="2"/>
        <v>www.looney.com</v>
      </c>
    </row>
    <row r="197" spans="1:17" ht="15.75" customHeight="1" x14ac:dyDescent="0.25">
      <c r="A197" s="19"/>
      <c r="B197" s="19"/>
      <c r="C197" s="19"/>
      <c r="D197" s="19"/>
      <c r="E197" s="19"/>
      <c r="F197" s="19"/>
      <c r="G197" s="19"/>
      <c r="H197" s="18"/>
      <c r="I197" s="18" t="str">
        <f t="shared" ca="1" si="3"/>
        <v/>
      </c>
      <c r="J197" s="19" t="str">
        <f t="shared" ca="1" si="0"/>
        <v/>
      </c>
      <c r="K197" s="19" t="str">
        <f t="shared" ref="K197:P197" ca="1" si="196">IFERROR(__xludf.DUMMYFUNCTION("iferror(lower(regexreplace(substitute(trim(if(B197="""",""empty"",B197)),"" "",""_""),""[^A-Za-z0-9_]"","""")))"),"empty")</f>
        <v>empty</v>
      </c>
      <c r="L197" s="19" t="str">
        <f t="shared" ca="1" si="196"/>
        <v>empty</v>
      </c>
      <c r="M197" s="19" t="str">
        <f t="shared" ca="1" si="196"/>
        <v>empty</v>
      </c>
      <c r="N197" s="19" t="str">
        <f t="shared" ca="1" si="196"/>
        <v>empty</v>
      </c>
      <c r="O197" s="19" t="str">
        <f t="shared" ca="1" si="196"/>
        <v>empty</v>
      </c>
      <c r="P197" s="19" t="str">
        <f t="shared" ca="1" si="196"/>
        <v>empty</v>
      </c>
      <c r="Q197" s="15" t="str">
        <f t="shared" ca="1" si="2"/>
        <v>www.looney.com</v>
      </c>
    </row>
    <row r="198" spans="1:17" ht="15.75" customHeight="1" x14ac:dyDescent="0.25">
      <c r="A198" s="19"/>
      <c r="B198" s="19"/>
      <c r="C198" s="19"/>
      <c r="D198" s="19"/>
      <c r="E198" s="19"/>
      <c r="F198" s="19"/>
      <c r="G198" s="19"/>
      <c r="H198" s="18"/>
      <c r="I198" s="18" t="str">
        <f t="shared" ca="1" si="3"/>
        <v/>
      </c>
      <c r="J198" s="19" t="str">
        <f t="shared" ca="1" si="0"/>
        <v/>
      </c>
      <c r="K198" s="19" t="str">
        <f t="shared" ref="K198:P198" ca="1" si="197">IFERROR(__xludf.DUMMYFUNCTION("iferror(lower(regexreplace(substitute(trim(if(B198="""",""empty"",B198)),"" "",""_""),""[^A-Za-z0-9_]"","""")))"),"empty")</f>
        <v>empty</v>
      </c>
      <c r="L198" s="19" t="str">
        <f t="shared" ca="1" si="197"/>
        <v>empty</v>
      </c>
      <c r="M198" s="19" t="str">
        <f t="shared" ca="1" si="197"/>
        <v>empty</v>
      </c>
      <c r="N198" s="19" t="str">
        <f t="shared" ca="1" si="197"/>
        <v>empty</v>
      </c>
      <c r="O198" s="19" t="str">
        <f t="shared" ca="1" si="197"/>
        <v>empty</v>
      </c>
      <c r="P198" s="19" t="str">
        <f t="shared" ca="1" si="197"/>
        <v>empty</v>
      </c>
      <c r="Q198" s="15" t="str">
        <f t="shared" ca="1" si="2"/>
        <v>www.looney.com</v>
      </c>
    </row>
    <row r="199" spans="1:17" ht="15.75" customHeight="1" x14ac:dyDescent="0.25">
      <c r="A199" s="19"/>
      <c r="B199" s="19"/>
      <c r="C199" s="19"/>
      <c r="D199" s="19"/>
      <c r="E199" s="19"/>
      <c r="F199" s="19"/>
      <c r="G199" s="19"/>
      <c r="H199" s="18"/>
      <c r="I199" s="18" t="str">
        <f t="shared" ca="1" si="3"/>
        <v/>
      </c>
      <c r="J199" s="19" t="str">
        <f t="shared" ca="1" si="0"/>
        <v/>
      </c>
      <c r="K199" s="19" t="str">
        <f t="shared" ref="K199:P199" ca="1" si="198">IFERROR(__xludf.DUMMYFUNCTION("iferror(lower(regexreplace(substitute(trim(if(B199="""",""empty"",B199)),"" "",""_""),""[^A-Za-z0-9_]"","""")))"),"empty")</f>
        <v>empty</v>
      </c>
      <c r="L199" s="19" t="str">
        <f t="shared" ca="1" si="198"/>
        <v>empty</v>
      </c>
      <c r="M199" s="19" t="str">
        <f t="shared" ca="1" si="198"/>
        <v>empty</v>
      </c>
      <c r="N199" s="19" t="str">
        <f t="shared" ca="1" si="198"/>
        <v>empty</v>
      </c>
      <c r="O199" s="19" t="str">
        <f t="shared" ca="1" si="198"/>
        <v>empty</v>
      </c>
      <c r="P199" s="19" t="str">
        <f t="shared" ca="1" si="198"/>
        <v>empty</v>
      </c>
      <c r="Q199" s="15" t="str">
        <f t="shared" ca="1" si="2"/>
        <v>www.looney.com</v>
      </c>
    </row>
    <row r="200" spans="1:17" ht="15.75" customHeight="1" x14ac:dyDescent="0.25">
      <c r="A200" s="19"/>
      <c r="B200" s="19"/>
      <c r="C200" s="19"/>
      <c r="D200" s="19"/>
      <c r="E200" s="19"/>
      <c r="F200" s="19"/>
      <c r="G200" s="19"/>
      <c r="H200" s="18"/>
      <c r="I200" s="18" t="str">
        <f t="shared" ca="1" si="3"/>
        <v/>
      </c>
      <c r="J200" s="19" t="str">
        <f t="shared" ca="1" si="0"/>
        <v/>
      </c>
      <c r="K200" s="19" t="str">
        <f t="shared" ref="K200:P200" ca="1" si="199">IFERROR(__xludf.DUMMYFUNCTION("iferror(lower(regexreplace(substitute(trim(if(B200="""",""empty"",B200)),"" "",""_""),""[^A-Za-z0-9_]"","""")))"),"empty")</f>
        <v>empty</v>
      </c>
      <c r="L200" s="19" t="str">
        <f t="shared" ca="1" si="199"/>
        <v>empty</v>
      </c>
      <c r="M200" s="19" t="str">
        <f t="shared" ca="1" si="199"/>
        <v>empty</v>
      </c>
      <c r="N200" s="19" t="str">
        <f t="shared" ca="1" si="199"/>
        <v>empty</v>
      </c>
      <c r="O200" s="19" t="str">
        <f t="shared" ca="1" si="199"/>
        <v>empty</v>
      </c>
      <c r="P200" s="19" t="str">
        <f t="shared" ca="1" si="199"/>
        <v>empty</v>
      </c>
      <c r="Q200" s="15" t="str">
        <f t="shared" ca="1" si="2"/>
        <v>www.looney.com</v>
      </c>
    </row>
    <row r="201" spans="1:17" ht="15.75" customHeight="1" x14ac:dyDescent="0.25">
      <c r="A201" s="19"/>
      <c r="B201" s="19"/>
      <c r="C201" s="19"/>
      <c r="D201" s="19"/>
      <c r="E201" s="19"/>
      <c r="F201" s="19"/>
      <c r="G201" s="19"/>
      <c r="H201" s="18"/>
      <c r="I201" s="18" t="str">
        <f t="shared" ca="1" si="3"/>
        <v/>
      </c>
      <c r="J201" s="19" t="str">
        <f t="shared" ca="1" si="0"/>
        <v/>
      </c>
      <c r="K201" s="19" t="str">
        <f t="shared" ref="K201:P201" ca="1" si="200">IFERROR(__xludf.DUMMYFUNCTION("iferror(lower(regexreplace(substitute(trim(if(B201="""",""empty"",B201)),"" "",""_""),""[^A-Za-z0-9_]"","""")))"),"empty")</f>
        <v>empty</v>
      </c>
      <c r="L201" s="19" t="str">
        <f t="shared" ca="1" si="200"/>
        <v>empty</v>
      </c>
      <c r="M201" s="19" t="str">
        <f t="shared" ca="1" si="200"/>
        <v>empty</v>
      </c>
      <c r="N201" s="19" t="str">
        <f t="shared" ca="1" si="200"/>
        <v>empty</v>
      </c>
      <c r="O201" s="19" t="str">
        <f t="shared" ca="1" si="200"/>
        <v>empty</v>
      </c>
      <c r="P201" s="19" t="str">
        <f t="shared" ca="1" si="200"/>
        <v>empty</v>
      </c>
      <c r="Q201" s="15" t="str">
        <f t="shared" ca="1" si="2"/>
        <v>www.looney.com</v>
      </c>
    </row>
    <row r="202" spans="1:17" ht="15.75" customHeight="1" x14ac:dyDescent="0.25">
      <c r="A202" s="19"/>
      <c r="B202" s="19"/>
      <c r="C202" s="19"/>
      <c r="D202" s="19"/>
      <c r="E202" s="19"/>
      <c r="F202" s="19"/>
      <c r="G202" s="19"/>
      <c r="H202" s="18"/>
      <c r="I202" s="18" t="str">
        <f t="shared" ca="1" si="3"/>
        <v/>
      </c>
      <c r="J202" s="19" t="str">
        <f t="shared" ca="1" si="0"/>
        <v/>
      </c>
      <c r="K202" s="19" t="str">
        <f t="shared" ref="K202:P202" ca="1" si="201">IFERROR(__xludf.DUMMYFUNCTION("iferror(lower(regexreplace(substitute(trim(if(B202="""",""empty"",B202)),"" "",""_""),""[^A-Za-z0-9_]"","""")))"),"empty")</f>
        <v>empty</v>
      </c>
      <c r="L202" s="19" t="str">
        <f t="shared" ca="1" si="201"/>
        <v>empty</v>
      </c>
      <c r="M202" s="19" t="str">
        <f t="shared" ca="1" si="201"/>
        <v>empty</v>
      </c>
      <c r="N202" s="19" t="str">
        <f t="shared" ca="1" si="201"/>
        <v>empty</v>
      </c>
      <c r="O202" s="19" t="str">
        <f t="shared" ca="1" si="201"/>
        <v>empty</v>
      </c>
      <c r="P202" s="19" t="str">
        <f t="shared" ca="1" si="201"/>
        <v>empty</v>
      </c>
      <c r="Q202" s="15" t="str">
        <f t="shared" ca="1" si="2"/>
        <v>www.looney.com</v>
      </c>
    </row>
    <row r="203" spans="1:17" ht="15.75" customHeight="1" x14ac:dyDescent="0.25">
      <c r="A203" s="19"/>
      <c r="B203" s="19"/>
      <c r="C203" s="19"/>
      <c r="D203" s="19"/>
      <c r="E203" s="19"/>
      <c r="F203" s="19"/>
      <c r="G203" s="19"/>
      <c r="H203" s="18"/>
      <c r="I203" s="18" t="str">
        <f t="shared" ca="1" si="3"/>
        <v/>
      </c>
      <c r="J203" s="19" t="str">
        <f t="shared" ca="1" si="0"/>
        <v/>
      </c>
      <c r="K203" s="19" t="str">
        <f t="shared" ref="K203:P203" ca="1" si="202">IFERROR(__xludf.DUMMYFUNCTION("iferror(lower(regexreplace(substitute(trim(if(B203="""",""empty"",B203)),"" "",""_""),""[^A-Za-z0-9_]"","""")))"),"empty")</f>
        <v>empty</v>
      </c>
      <c r="L203" s="19" t="str">
        <f t="shared" ca="1" si="202"/>
        <v>empty</v>
      </c>
      <c r="M203" s="19" t="str">
        <f t="shared" ca="1" si="202"/>
        <v>empty</v>
      </c>
      <c r="N203" s="19" t="str">
        <f t="shared" ca="1" si="202"/>
        <v>empty</v>
      </c>
      <c r="O203" s="19" t="str">
        <f t="shared" ca="1" si="202"/>
        <v>empty</v>
      </c>
      <c r="P203" s="19" t="str">
        <f t="shared" ca="1" si="202"/>
        <v>empty</v>
      </c>
      <c r="Q203" s="15" t="str">
        <f t="shared" ca="1" si="2"/>
        <v>www.looney.com</v>
      </c>
    </row>
    <row r="204" spans="1:17" ht="15.75" customHeight="1" x14ac:dyDescent="0.25">
      <c r="A204" s="19"/>
      <c r="B204" s="19"/>
      <c r="C204" s="19"/>
      <c r="D204" s="19"/>
      <c r="E204" s="19"/>
      <c r="F204" s="19"/>
      <c r="G204" s="19"/>
      <c r="H204" s="18"/>
      <c r="I204" s="18" t="str">
        <f t="shared" ca="1" si="3"/>
        <v/>
      </c>
      <c r="J204" s="19" t="str">
        <f t="shared" ca="1" si="0"/>
        <v/>
      </c>
      <c r="K204" s="19" t="str">
        <f t="shared" ref="K204:P204" ca="1" si="203">IFERROR(__xludf.DUMMYFUNCTION("iferror(lower(regexreplace(substitute(trim(if(B204="""",""empty"",B204)),"" "",""_""),""[^A-Za-z0-9_]"","""")))"),"empty")</f>
        <v>empty</v>
      </c>
      <c r="L204" s="19" t="str">
        <f t="shared" ca="1" si="203"/>
        <v>empty</v>
      </c>
      <c r="M204" s="19" t="str">
        <f t="shared" ca="1" si="203"/>
        <v>empty</v>
      </c>
      <c r="N204" s="19" t="str">
        <f t="shared" ca="1" si="203"/>
        <v>empty</v>
      </c>
      <c r="O204" s="19" t="str">
        <f t="shared" ca="1" si="203"/>
        <v>empty</v>
      </c>
      <c r="P204" s="19" t="str">
        <f t="shared" ca="1" si="203"/>
        <v>empty</v>
      </c>
      <c r="Q204" s="15" t="str">
        <f t="shared" ca="1" si="2"/>
        <v>www.looney.com</v>
      </c>
    </row>
    <row r="205" spans="1:17" ht="15.75" customHeight="1" x14ac:dyDescent="0.25">
      <c r="A205" s="19"/>
      <c r="B205" s="19"/>
      <c r="C205" s="19"/>
      <c r="D205" s="19"/>
      <c r="E205" s="19"/>
      <c r="F205" s="19"/>
      <c r="G205" s="19"/>
      <c r="H205" s="18"/>
      <c r="I205" s="18" t="str">
        <f t="shared" ca="1" si="3"/>
        <v/>
      </c>
      <c r="J205" s="19" t="str">
        <f t="shared" ca="1" si="0"/>
        <v/>
      </c>
      <c r="K205" s="19" t="str">
        <f t="shared" ref="K205:P205" ca="1" si="204">IFERROR(__xludf.DUMMYFUNCTION("iferror(lower(regexreplace(substitute(trim(if(B205="""",""empty"",B205)),"" "",""_""),""[^A-Za-z0-9_]"","""")))"),"empty")</f>
        <v>empty</v>
      </c>
      <c r="L205" s="19" t="str">
        <f t="shared" ca="1" si="204"/>
        <v>empty</v>
      </c>
      <c r="M205" s="19" t="str">
        <f t="shared" ca="1" si="204"/>
        <v>empty</v>
      </c>
      <c r="N205" s="19" t="str">
        <f t="shared" ca="1" si="204"/>
        <v>empty</v>
      </c>
      <c r="O205" s="19" t="str">
        <f t="shared" ca="1" si="204"/>
        <v>empty</v>
      </c>
      <c r="P205" s="19" t="str">
        <f t="shared" ca="1" si="204"/>
        <v>empty</v>
      </c>
      <c r="Q205" s="15" t="str">
        <f t="shared" ca="1" si="2"/>
        <v>www.looney.com</v>
      </c>
    </row>
    <row r="206" spans="1:17" ht="15.75" customHeight="1" x14ac:dyDescent="0.25">
      <c r="A206" s="19"/>
      <c r="B206" s="19"/>
      <c r="C206" s="19"/>
      <c r="D206" s="19"/>
      <c r="E206" s="19"/>
      <c r="F206" s="19"/>
      <c r="G206" s="19"/>
      <c r="H206" s="18"/>
      <c r="I206" s="18" t="str">
        <f t="shared" ca="1" si="3"/>
        <v/>
      </c>
      <c r="J206" s="19" t="str">
        <f t="shared" ca="1" si="0"/>
        <v/>
      </c>
      <c r="K206" s="19" t="str">
        <f t="shared" ref="K206:P206" ca="1" si="205">IFERROR(__xludf.DUMMYFUNCTION("iferror(lower(regexreplace(substitute(trim(if(B206="""",""empty"",B206)),"" "",""_""),""[^A-Za-z0-9_]"","""")))"),"empty")</f>
        <v>empty</v>
      </c>
      <c r="L206" s="19" t="str">
        <f t="shared" ca="1" si="205"/>
        <v>empty</v>
      </c>
      <c r="M206" s="19" t="str">
        <f t="shared" ca="1" si="205"/>
        <v>empty</v>
      </c>
      <c r="N206" s="19" t="str">
        <f t="shared" ca="1" si="205"/>
        <v>empty</v>
      </c>
      <c r="O206" s="19" t="str">
        <f t="shared" ca="1" si="205"/>
        <v>empty</v>
      </c>
      <c r="P206" s="19" t="str">
        <f t="shared" ca="1" si="205"/>
        <v>empty</v>
      </c>
      <c r="Q206" s="15" t="str">
        <f t="shared" ca="1" si="2"/>
        <v>www.looney.com</v>
      </c>
    </row>
    <row r="207" spans="1:17" ht="15.75" customHeight="1" x14ac:dyDescent="0.25">
      <c r="A207" s="19"/>
      <c r="B207" s="19"/>
      <c r="C207" s="19"/>
      <c r="D207" s="19"/>
      <c r="E207" s="19"/>
      <c r="F207" s="19"/>
      <c r="G207" s="19"/>
      <c r="H207" s="18"/>
      <c r="I207" s="18" t="str">
        <f t="shared" ca="1" si="3"/>
        <v/>
      </c>
      <c r="J207" s="19" t="str">
        <f t="shared" ca="1" si="0"/>
        <v/>
      </c>
      <c r="K207" s="19" t="str">
        <f t="shared" ref="K207:P207" ca="1" si="206">IFERROR(__xludf.DUMMYFUNCTION("iferror(lower(regexreplace(substitute(trim(if(B207="""",""empty"",B207)),"" "",""_""),""[^A-Za-z0-9_]"","""")))"),"empty")</f>
        <v>empty</v>
      </c>
      <c r="L207" s="19" t="str">
        <f t="shared" ca="1" si="206"/>
        <v>empty</v>
      </c>
      <c r="M207" s="19" t="str">
        <f t="shared" ca="1" si="206"/>
        <v>empty</v>
      </c>
      <c r="N207" s="19" t="str">
        <f t="shared" ca="1" si="206"/>
        <v>empty</v>
      </c>
      <c r="O207" s="19" t="str">
        <f t="shared" ca="1" si="206"/>
        <v>empty</v>
      </c>
      <c r="P207" s="19" t="str">
        <f t="shared" ca="1" si="206"/>
        <v>empty</v>
      </c>
      <c r="Q207" s="15" t="str">
        <f t="shared" ca="1" si="2"/>
        <v>www.looney.com</v>
      </c>
    </row>
    <row r="208" spans="1:17" ht="15.75" customHeight="1" x14ac:dyDescent="0.25">
      <c r="A208" s="19"/>
      <c r="B208" s="19"/>
      <c r="C208" s="19"/>
      <c r="D208" s="19"/>
      <c r="E208" s="19"/>
      <c r="F208" s="19"/>
      <c r="G208" s="19"/>
      <c r="H208" s="18"/>
      <c r="I208" s="18" t="str">
        <f t="shared" ca="1" si="3"/>
        <v/>
      </c>
      <c r="J208" s="19" t="str">
        <f t="shared" ca="1" si="0"/>
        <v/>
      </c>
      <c r="K208" s="19" t="str">
        <f t="shared" ref="K208:P208" ca="1" si="207">IFERROR(__xludf.DUMMYFUNCTION("iferror(lower(regexreplace(substitute(trim(if(B208="""",""empty"",B208)),"" "",""_""),""[^A-Za-z0-9_]"","""")))"),"empty")</f>
        <v>empty</v>
      </c>
      <c r="L208" s="19" t="str">
        <f t="shared" ca="1" si="207"/>
        <v>empty</v>
      </c>
      <c r="M208" s="19" t="str">
        <f t="shared" ca="1" si="207"/>
        <v>empty</v>
      </c>
      <c r="N208" s="19" t="str">
        <f t="shared" ca="1" si="207"/>
        <v>empty</v>
      </c>
      <c r="O208" s="19" t="str">
        <f t="shared" ca="1" si="207"/>
        <v>empty</v>
      </c>
      <c r="P208" s="19" t="str">
        <f t="shared" ca="1" si="207"/>
        <v>empty</v>
      </c>
      <c r="Q208" s="15" t="str">
        <f t="shared" ca="1" si="2"/>
        <v>www.looney.com</v>
      </c>
    </row>
    <row r="209" spans="1:17" ht="15.75" customHeight="1" x14ac:dyDescent="0.25">
      <c r="A209" s="19"/>
      <c r="B209" s="19"/>
      <c r="C209" s="19"/>
      <c r="D209" s="19"/>
      <c r="E209" s="19"/>
      <c r="F209" s="19"/>
      <c r="G209" s="19"/>
      <c r="H209" s="18"/>
      <c r="I209" s="18" t="str">
        <f t="shared" ca="1" si="3"/>
        <v/>
      </c>
      <c r="J209" s="19" t="str">
        <f t="shared" ca="1" si="0"/>
        <v/>
      </c>
      <c r="K209" s="19" t="str">
        <f t="shared" ref="K209:P209" ca="1" si="208">IFERROR(__xludf.DUMMYFUNCTION("iferror(lower(regexreplace(substitute(trim(if(B209="""",""empty"",B209)),"" "",""_""),""[^A-Za-z0-9_]"","""")))"),"empty")</f>
        <v>empty</v>
      </c>
      <c r="L209" s="19" t="str">
        <f t="shared" ca="1" si="208"/>
        <v>empty</v>
      </c>
      <c r="M209" s="19" t="str">
        <f t="shared" ca="1" si="208"/>
        <v>empty</v>
      </c>
      <c r="N209" s="19" t="str">
        <f t="shared" ca="1" si="208"/>
        <v>empty</v>
      </c>
      <c r="O209" s="19" t="str">
        <f t="shared" ca="1" si="208"/>
        <v>empty</v>
      </c>
      <c r="P209" s="19" t="str">
        <f t="shared" ca="1" si="208"/>
        <v>empty</v>
      </c>
      <c r="Q209" s="15" t="str">
        <f t="shared" ca="1" si="2"/>
        <v>www.looney.com</v>
      </c>
    </row>
    <row r="210" spans="1:17" ht="15.75" customHeight="1" x14ac:dyDescent="0.25">
      <c r="A210" s="19"/>
      <c r="B210" s="19"/>
      <c r="C210" s="19"/>
      <c r="D210" s="19"/>
      <c r="E210" s="19"/>
      <c r="F210" s="19"/>
      <c r="G210" s="19"/>
      <c r="H210" s="18"/>
      <c r="I210" s="18" t="str">
        <f t="shared" ca="1" si="3"/>
        <v/>
      </c>
      <c r="J210" s="19" t="str">
        <f t="shared" ca="1" si="0"/>
        <v/>
      </c>
      <c r="K210" s="19" t="str">
        <f t="shared" ref="K210:P210" ca="1" si="209">IFERROR(__xludf.DUMMYFUNCTION("iferror(lower(regexreplace(substitute(trim(if(B210="""",""empty"",B210)),"" "",""_""),""[^A-Za-z0-9_]"","""")))"),"empty")</f>
        <v>empty</v>
      </c>
      <c r="L210" s="19" t="str">
        <f t="shared" ca="1" si="209"/>
        <v>empty</v>
      </c>
      <c r="M210" s="19" t="str">
        <f t="shared" ca="1" si="209"/>
        <v>empty</v>
      </c>
      <c r="N210" s="19" t="str">
        <f t="shared" ca="1" si="209"/>
        <v>empty</v>
      </c>
      <c r="O210" s="19" t="str">
        <f t="shared" ca="1" si="209"/>
        <v>empty</v>
      </c>
      <c r="P210" s="19" t="str">
        <f t="shared" ca="1" si="209"/>
        <v>empty</v>
      </c>
      <c r="Q210" s="15" t="str">
        <f t="shared" ca="1" si="2"/>
        <v>www.looney.com</v>
      </c>
    </row>
    <row r="211" spans="1:17" ht="15.75" customHeight="1" x14ac:dyDescent="0.25">
      <c r="A211" s="19"/>
      <c r="B211" s="19"/>
      <c r="C211" s="19"/>
      <c r="D211" s="19"/>
      <c r="E211" s="19"/>
      <c r="F211" s="19"/>
      <c r="G211" s="19"/>
      <c r="H211" s="18"/>
      <c r="I211" s="18" t="str">
        <f t="shared" ca="1" si="3"/>
        <v/>
      </c>
      <c r="J211" s="19" t="str">
        <f t="shared" ca="1" si="0"/>
        <v/>
      </c>
      <c r="K211" s="19" t="str">
        <f t="shared" ref="K211:P211" ca="1" si="210">IFERROR(__xludf.DUMMYFUNCTION("iferror(lower(regexreplace(substitute(trim(if(B211="""",""empty"",B211)),"" "",""_""),""[^A-Za-z0-9_]"","""")))"),"empty")</f>
        <v>empty</v>
      </c>
      <c r="L211" s="19" t="str">
        <f t="shared" ca="1" si="210"/>
        <v>empty</v>
      </c>
      <c r="M211" s="19" t="str">
        <f t="shared" ca="1" si="210"/>
        <v>empty</v>
      </c>
      <c r="N211" s="19" t="str">
        <f t="shared" ca="1" si="210"/>
        <v>empty</v>
      </c>
      <c r="O211" s="19" t="str">
        <f t="shared" ca="1" si="210"/>
        <v>empty</v>
      </c>
      <c r="P211" s="19" t="str">
        <f t="shared" ca="1" si="210"/>
        <v>empty</v>
      </c>
      <c r="Q211" s="15" t="str">
        <f t="shared" ca="1" si="2"/>
        <v>www.looney.com</v>
      </c>
    </row>
    <row r="212" spans="1:17" ht="15.75" customHeight="1" x14ac:dyDescent="0.25">
      <c r="A212" s="19"/>
      <c r="B212" s="19"/>
      <c r="C212" s="19"/>
      <c r="D212" s="19"/>
      <c r="E212" s="19"/>
      <c r="F212" s="19"/>
      <c r="G212" s="19"/>
      <c r="H212" s="18"/>
      <c r="I212" s="18" t="str">
        <f t="shared" ca="1" si="3"/>
        <v/>
      </c>
      <c r="J212" s="19" t="str">
        <f t="shared" ca="1" si="0"/>
        <v/>
      </c>
      <c r="K212" s="19" t="str">
        <f t="shared" ref="K212:P212" ca="1" si="211">IFERROR(__xludf.DUMMYFUNCTION("iferror(lower(regexreplace(substitute(trim(if(B212="""",""empty"",B212)),"" "",""_""),""[^A-Za-z0-9_]"","""")))"),"empty")</f>
        <v>empty</v>
      </c>
      <c r="L212" s="19" t="str">
        <f t="shared" ca="1" si="211"/>
        <v>empty</v>
      </c>
      <c r="M212" s="19" t="str">
        <f t="shared" ca="1" si="211"/>
        <v>empty</v>
      </c>
      <c r="N212" s="19" t="str">
        <f t="shared" ca="1" si="211"/>
        <v>empty</v>
      </c>
      <c r="O212" s="19" t="str">
        <f t="shared" ca="1" si="211"/>
        <v>empty</v>
      </c>
      <c r="P212" s="19" t="str">
        <f t="shared" ca="1" si="211"/>
        <v>empty</v>
      </c>
      <c r="Q212" s="15" t="str">
        <f t="shared" ca="1" si="2"/>
        <v>www.looney.com</v>
      </c>
    </row>
    <row r="213" spans="1:17" ht="15.75" customHeight="1" x14ac:dyDescent="0.25">
      <c r="A213" s="19"/>
      <c r="B213" s="19"/>
      <c r="C213" s="19"/>
      <c r="D213" s="19"/>
      <c r="E213" s="19"/>
      <c r="F213" s="19"/>
      <c r="G213" s="19"/>
      <c r="H213" s="18"/>
      <c r="I213" s="18" t="str">
        <f t="shared" ca="1" si="3"/>
        <v/>
      </c>
      <c r="J213" s="19" t="str">
        <f t="shared" ca="1" si="0"/>
        <v/>
      </c>
      <c r="K213" s="19" t="str">
        <f t="shared" ref="K213:P213" ca="1" si="212">IFERROR(__xludf.DUMMYFUNCTION("iferror(lower(regexreplace(substitute(trim(if(B213="""",""empty"",B213)),"" "",""_""),""[^A-Za-z0-9_]"","""")))"),"empty")</f>
        <v>empty</v>
      </c>
      <c r="L213" s="19" t="str">
        <f t="shared" ca="1" si="212"/>
        <v>empty</v>
      </c>
      <c r="M213" s="19" t="str">
        <f t="shared" ca="1" si="212"/>
        <v>empty</v>
      </c>
      <c r="N213" s="19" t="str">
        <f t="shared" ca="1" si="212"/>
        <v>empty</v>
      </c>
      <c r="O213" s="19" t="str">
        <f t="shared" ca="1" si="212"/>
        <v>empty</v>
      </c>
      <c r="P213" s="19" t="str">
        <f t="shared" ca="1" si="212"/>
        <v>empty</v>
      </c>
      <c r="Q213" s="15" t="str">
        <f t="shared" ca="1" si="2"/>
        <v>www.looney.com</v>
      </c>
    </row>
    <row r="214" spans="1:17" ht="15.75" customHeight="1" x14ac:dyDescent="0.25">
      <c r="A214" s="19"/>
      <c r="B214" s="19"/>
      <c r="C214" s="19"/>
      <c r="D214" s="19"/>
      <c r="E214" s="19"/>
      <c r="F214" s="19"/>
      <c r="G214" s="19"/>
      <c r="H214" s="18"/>
      <c r="I214" s="18" t="str">
        <f t="shared" ca="1" si="3"/>
        <v/>
      </c>
      <c r="J214" s="19" t="str">
        <f t="shared" ca="1" si="0"/>
        <v/>
      </c>
      <c r="K214" s="19" t="str">
        <f t="shared" ref="K214:P214" ca="1" si="213">IFERROR(__xludf.DUMMYFUNCTION("iferror(lower(regexreplace(substitute(trim(if(B214="""",""empty"",B214)),"" "",""_""),""[^A-Za-z0-9_]"","""")))"),"empty")</f>
        <v>empty</v>
      </c>
      <c r="L214" s="19" t="str">
        <f t="shared" ca="1" si="213"/>
        <v>empty</v>
      </c>
      <c r="M214" s="19" t="str">
        <f t="shared" ca="1" si="213"/>
        <v>empty</v>
      </c>
      <c r="N214" s="19" t="str">
        <f t="shared" ca="1" si="213"/>
        <v>empty</v>
      </c>
      <c r="O214" s="19" t="str">
        <f t="shared" ca="1" si="213"/>
        <v>empty</v>
      </c>
      <c r="P214" s="19" t="str">
        <f t="shared" ca="1" si="213"/>
        <v>empty</v>
      </c>
      <c r="Q214" s="15" t="str">
        <f t="shared" ca="1" si="2"/>
        <v>www.looney.com</v>
      </c>
    </row>
    <row r="215" spans="1:17" ht="15.75" customHeight="1" x14ac:dyDescent="0.25">
      <c r="A215" s="19"/>
      <c r="B215" s="19"/>
      <c r="C215" s="19"/>
      <c r="D215" s="19"/>
      <c r="E215" s="19"/>
      <c r="F215" s="19"/>
      <c r="G215" s="19"/>
      <c r="H215" s="18"/>
      <c r="I215" s="18" t="str">
        <f t="shared" ca="1" si="3"/>
        <v/>
      </c>
      <c r="J215" s="19" t="str">
        <f t="shared" ca="1" si="0"/>
        <v/>
      </c>
      <c r="K215" s="19" t="str">
        <f t="shared" ref="K215:P215" ca="1" si="214">IFERROR(__xludf.DUMMYFUNCTION("iferror(lower(regexreplace(substitute(trim(if(B215="""",""empty"",B215)),"" "",""_""),""[^A-Za-z0-9_]"","""")))"),"empty")</f>
        <v>empty</v>
      </c>
      <c r="L215" s="19" t="str">
        <f t="shared" ca="1" si="214"/>
        <v>empty</v>
      </c>
      <c r="M215" s="19" t="str">
        <f t="shared" ca="1" si="214"/>
        <v>empty</v>
      </c>
      <c r="N215" s="19" t="str">
        <f t="shared" ca="1" si="214"/>
        <v>empty</v>
      </c>
      <c r="O215" s="19" t="str">
        <f t="shared" ca="1" si="214"/>
        <v>empty</v>
      </c>
      <c r="P215" s="19" t="str">
        <f t="shared" ca="1" si="214"/>
        <v>empty</v>
      </c>
      <c r="Q215" s="15" t="str">
        <f t="shared" ca="1" si="2"/>
        <v>www.looney.com</v>
      </c>
    </row>
    <row r="216" spans="1:17" ht="15.75" customHeight="1" x14ac:dyDescent="0.25">
      <c r="A216" s="19"/>
      <c r="B216" s="19"/>
      <c r="C216" s="19"/>
      <c r="D216" s="19"/>
      <c r="E216" s="19"/>
      <c r="F216" s="19"/>
      <c r="G216" s="19"/>
      <c r="H216" s="18"/>
      <c r="I216" s="18" t="str">
        <f t="shared" ca="1" si="3"/>
        <v/>
      </c>
      <c r="J216" s="19" t="str">
        <f t="shared" ca="1" si="0"/>
        <v/>
      </c>
      <c r="K216" s="19" t="str">
        <f t="shared" ref="K216:P216" ca="1" si="215">IFERROR(__xludf.DUMMYFUNCTION("iferror(lower(regexreplace(substitute(trim(if(B216="""",""empty"",B216)),"" "",""_""),""[^A-Za-z0-9_]"","""")))"),"empty")</f>
        <v>empty</v>
      </c>
      <c r="L216" s="19" t="str">
        <f t="shared" ca="1" si="215"/>
        <v>empty</v>
      </c>
      <c r="M216" s="19" t="str">
        <f t="shared" ca="1" si="215"/>
        <v>empty</v>
      </c>
      <c r="N216" s="19" t="str">
        <f t="shared" ca="1" si="215"/>
        <v>empty</v>
      </c>
      <c r="O216" s="19" t="str">
        <f t="shared" ca="1" si="215"/>
        <v>empty</v>
      </c>
      <c r="P216" s="19" t="str">
        <f t="shared" ca="1" si="215"/>
        <v>empty</v>
      </c>
      <c r="Q216" s="15" t="str">
        <f t="shared" ca="1" si="2"/>
        <v>www.looney.com</v>
      </c>
    </row>
    <row r="217" spans="1:17" ht="15.75" customHeight="1" x14ac:dyDescent="0.25">
      <c r="A217" s="19"/>
      <c r="B217" s="19"/>
      <c r="C217" s="19"/>
      <c r="D217" s="19"/>
      <c r="E217" s="19"/>
      <c r="F217" s="19"/>
      <c r="G217" s="19"/>
      <c r="H217" s="18"/>
      <c r="I217" s="18" t="str">
        <f t="shared" ca="1" si="3"/>
        <v/>
      </c>
      <c r="J217" s="19" t="str">
        <f t="shared" ca="1" si="0"/>
        <v/>
      </c>
      <c r="K217" s="19" t="str">
        <f t="shared" ref="K217:P217" ca="1" si="216">IFERROR(__xludf.DUMMYFUNCTION("iferror(lower(regexreplace(substitute(trim(if(B217="""",""empty"",B217)),"" "",""_""),""[^A-Za-z0-9_]"","""")))"),"empty")</f>
        <v>empty</v>
      </c>
      <c r="L217" s="19" t="str">
        <f t="shared" ca="1" si="216"/>
        <v>empty</v>
      </c>
      <c r="M217" s="19" t="str">
        <f t="shared" ca="1" si="216"/>
        <v>empty</v>
      </c>
      <c r="N217" s="19" t="str">
        <f t="shared" ca="1" si="216"/>
        <v>empty</v>
      </c>
      <c r="O217" s="19" t="str">
        <f t="shared" ca="1" si="216"/>
        <v>empty</v>
      </c>
      <c r="P217" s="19" t="str">
        <f t="shared" ca="1" si="216"/>
        <v>empty</v>
      </c>
      <c r="Q217" s="15" t="str">
        <f t="shared" ca="1" si="2"/>
        <v>www.looney.com</v>
      </c>
    </row>
    <row r="218" spans="1:17" ht="15.75" customHeight="1" x14ac:dyDescent="0.25">
      <c r="A218" s="19"/>
      <c r="B218" s="19"/>
      <c r="C218" s="19"/>
      <c r="D218" s="19"/>
      <c r="E218" s="19"/>
      <c r="F218" s="19"/>
      <c r="G218" s="19"/>
      <c r="H218" s="18"/>
      <c r="I218" s="18" t="str">
        <f t="shared" ca="1" si="3"/>
        <v/>
      </c>
      <c r="J218" s="19" t="str">
        <f t="shared" ca="1" si="0"/>
        <v/>
      </c>
      <c r="K218" s="19" t="str">
        <f t="shared" ref="K218:P218" ca="1" si="217">IFERROR(__xludf.DUMMYFUNCTION("iferror(lower(regexreplace(substitute(trim(if(B218="""",""empty"",B218)),"" "",""_""),""[^A-Za-z0-9_]"","""")))"),"empty")</f>
        <v>empty</v>
      </c>
      <c r="L218" s="19" t="str">
        <f t="shared" ca="1" si="217"/>
        <v>empty</v>
      </c>
      <c r="M218" s="19" t="str">
        <f t="shared" ca="1" si="217"/>
        <v>empty</v>
      </c>
      <c r="N218" s="19" t="str">
        <f t="shared" ca="1" si="217"/>
        <v>empty</v>
      </c>
      <c r="O218" s="19" t="str">
        <f t="shared" ca="1" si="217"/>
        <v>empty</v>
      </c>
      <c r="P218" s="19" t="str">
        <f t="shared" ca="1" si="217"/>
        <v>empty</v>
      </c>
      <c r="Q218" s="15" t="str">
        <f t="shared" ca="1" si="2"/>
        <v>www.looney.com</v>
      </c>
    </row>
    <row r="219" spans="1:17" ht="15.75" customHeight="1" x14ac:dyDescent="0.25">
      <c r="A219" s="19"/>
      <c r="B219" s="19"/>
      <c r="C219" s="19"/>
      <c r="D219" s="19"/>
      <c r="E219" s="19"/>
      <c r="F219" s="19"/>
      <c r="G219" s="19"/>
      <c r="H219" s="18"/>
      <c r="I219" s="18" t="str">
        <f t="shared" ca="1" si="3"/>
        <v/>
      </c>
      <c r="J219" s="19" t="str">
        <f t="shared" ca="1" si="0"/>
        <v/>
      </c>
      <c r="K219" s="19" t="str">
        <f t="shared" ref="K219:P219" ca="1" si="218">IFERROR(__xludf.DUMMYFUNCTION("iferror(lower(regexreplace(substitute(trim(if(B219="""",""empty"",B219)),"" "",""_""),""[^A-Za-z0-9_]"","""")))"),"empty")</f>
        <v>empty</v>
      </c>
      <c r="L219" s="19" t="str">
        <f t="shared" ca="1" si="218"/>
        <v>empty</v>
      </c>
      <c r="M219" s="19" t="str">
        <f t="shared" ca="1" si="218"/>
        <v>empty</v>
      </c>
      <c r="N219" s="19" t="str">
        <f t="shared" ca="1" si="218"/>
        <v>empty</v>
      </c>
      <c r="O219" s="19" t="str">
        <f t="shared" ca="1" si="218"/>
        <v>empty</v>
      </c>
      <c r="P219" s="19" t="str">
        <f t="shared" ca="1" si="218"/>
        <v>empty</v>
      </c>
      <c r="Q219" s="15" t="str">
        <f t="shared" ca="1" si="2"/>
        <v>www.looney.com</v>
      </c>
    </row>
    <row r="220" spans="1:17" ht="15.75" customHeight="1" x14ac:dyDescent="0.25">
      <c r="A220" s="19"/>
      <c r="B220" s="19"/>
      <c r="C220" s="19"/>
      <c r="D220" s="19"/>
      <c r="E220" s="19"/>
      <c r="F220" s="19"/>
      <c r="G220" s="19"/>
      <c r="H220" s="18"/>
      <c r="I220" s="18" t="str">
        <f t="shared" ca="1" si="3"/>
        <v/>
      </c>
      <c r="J220" s="19" t="str">
        <f t="shared" ca="1" si="0"/>
        <v/>
      </c>
      <c r="K220" s="19" t="str">
        <f t="shared" ref="K220:P220" ca="1" si="219">IFERROR(__xludf.DUMMYFUNCTION("iferror(lower(regexreplace(substitute(trim(if(B220="""",""empty"",B220)),"" "",""_""),""[^A-Za-z0-9_]"","""")))"),"empty")</f>
        <v>empty</v>
      </c>
      <c r="L220" s="19" t="str">
        <f t="shared" ca="1" si="219"/>
        <v>empty</v>
      </c>
      <c r="M220" s="19" t="str">
        <f t="shared" ca="1" si="219"/>
        <v>empty</v>
      </c>
      <c r="N220" s="19" t="str">
        <f t="shared" ca="1" si="219"/>
        <v>empty</v>
      </c>
      <c r="O220" s="19" t="str">
        <f t="shared" ca="1" si="219"/>
        <v>empty</v>
      </c>
      <c r="P220" s="19" t="str">
        <f t="shared" ca="1" si="219"/>
        <v>empty</v>
      </c>
      <c r="Q220" s="15" t="str">
        <f t="shared" ca="1" si="2"/>
        <v>www.looney.com</v>
      </c>
    </row>
    <row r="221" spans="1:17" ht="15.75" customHeight="1" x14ac:dyDescent="0.25">
      <c r="A221" s="19"/>
      <c r="B221" s="19"/>
      <c r="C221" s="19"/>
      <c r="D221" s="19"/>
      <c r="E221" s="19"/>
      <c r="F221" s="19"/>
      <c r="G221" s="19"/>
      <c r="H221" s="18"/>
      <c r="I221" s="18" t="str">
        <f t="shared" ca="1" si="3"/>
        <v/>
      </c>
      <c r="J221" s="19" t="str">
        <f t="shared" ca="1" si="0"/>
        <v/>
      </c>
      <c r="K221" s="19" t="str">
        <f t="shared" ref="K221:P221" ca="1" si="220">IFERROR(__xludf.DUMMYFUNCTION("iferror(lower(regexreplace(substitute(trim(if(B221="""",""empty"",B221)),"" "",""_""),""[^A-Za-z0-9_]"","""")))"),"empty")</f>
        <v>empty</v>
      </c>
      <c r="L221" s="19" t="str">
        <f t="shared" ca="1" si="220"/>
        <v>empty</v>
      </c>
      <c r="M221" s="19" t="str">
        <f t="shared" ca="1" si="220"/>
        <v>empty</v>
      </c>
      <c r="N221" s="19" t="str">
        <f t="shared" ca="1" si="220"/>
        <v>empty</v>
      </c>
      <c r="O221" s="19" t="str">
        <f t="shared" ca="1" si="220"/>
        <v>empty</v>
      </c>
      <c r="P221" s="19" t="str">
        <f t="shared" ca="1" si="220"/>
        <v>empty</v>
      </c>
      <c r="Q221" s="15" t="str">
        <f t="shared" ca="1" si="2"/>
        <v>www.looney.com</v>
      </c>
    </row>
    <row r="222" spans="1:17" ht="15.75" customHeight="1" x14ac:dyDescent="0.25">
      <c r="A222" s="19"/>
      <c r="B222" s="19"/>
      <c r="C222" s="19"/>
      <c r="D222" s="19"/>
      <c r="E222" s="19"/>
      <c r="F222" s="19"/>
      <c r="G222" s="19"/>
      <c r="H222" s="18"/>
      <c r="I222" s="18" t="str">
        <f t="shared" ca="1" si="3"/>
        <v/>
      </c>
      <c r="J222" s="19" t="str">
        <f t="shared" ca="1" si="0"/>
        <v/>
      </c>
      <c r="K222" s="19" t="str">
        <f t="shared" ref="K222:P222" ca="1" si="221">IFERROR(__xludf.DUMMYFUNCTION("iferror(lower(regexreplace(substitute(trim(if(B222="""",""empty"",B222)),"" "",""_""),""[^A-Za-z0-9_]"","""")))"),"empty")</f>
        <v>empty</v>
      </c>
      <c r="L222" s="19" t="str">
        <f t="shared" ca="1" si="221"/>
        <v>empty</v>
      </c>
      <c r="M222" s="19" t="str">
        <f t="shared" ca="1" si="221"/>
        <v>empty</v>
      </c>
      <c r="N222" s="19" t="str">
        <f t="shared" ca="1" si="221"/>
        <v>empty</v>
      </c>
      <c r="O222" s="19" t="str">
        <f t="shared" ca="1" si="221"/>
        <v>empty</v>
      </c>
      <c r="P222" s="19" t="str">
        <f t="shared" ca="1" si="221"/>
        <v>empty</v>
      </c>
      <c r="Q222" s="15" t="str">
        <f t="shared" ca="1" si="2"/>
        <v>www.looney.com</v>
      </c>
    </row>
    <row r="223" spans="1:17" ht="15.75" customHeight="1" x14ac:dyDescent="0.25">
      <c r="A223" s="19"/>
      <c r="B223" s="19"/>
      <c r="C223" s="19"/>
      <c r="D223" s="19"/>
      <c r="E223" s="19"/>
      <c r="F223" s="19"/>
      <c r="G223" s="19"/>
      <c r="H223" s="18"/>
      <c r="I223" s="18" t="str">
        <f t="shared" ca="1" si="3"/>
        <v/>
      </c>
      <c r="J223" s="19" t="str">
        <f t="shared" ca="1" si="0"/>
        <v/>
      </c>
      <c r="K223" s="19" t="str">
        <f t="shared" ref="K223:P223" ca="1" si="222">IFERROR(__xludf.DUMMYFUNCTION("iferror(lower(regexreplace(substitute(trim(if(B223="""",""empty"",B223)),"" "",""_""),""[^A-Za-z0-9_]"","""")))"),"empty")</f>
        <v>empty</v>
      </c>
      <c r="L223" s="19" t="str">
        <f t="shared" ca="1" si="222"/>
        <v>empty</v>
      </c>
      <c r="M223" s="19" t="str">
        <f t="shared" ca="1" si="222"/>
        <v>empty</v>
      </c>
      <c r="N223" s="19" t="str">
        <f t="shared" ca="1" si="222"/>
        <v>empty</v>
      </c>
      <c r="O223" s="19" t="str">
        <f t="shared" ca="1" si="222"/>
        <v>empty</v>
      </c>
      <c r="P223" s="19" t="str">
        <f t="shared" ca="1" si="222"/>
        <v>empty</v>
      </c>
      <c r="Q223" s="15" t="str">
        <f t="shared" ca="1" si="2"/>
        <v>www.looney.com</v>
      </c>
    </row>
    <row r="224" spans="1:17" ht="15.75" customHeight="1" x14ac:dyDescent="0.25">
      <c r="A224" s="19"/>
      <c r="B224" s="19"/>
      <c r="C224" s="19"/>
      <c r="D224" s="19"/>
      <c r="E224" s="19"/>
      <c r="F224" s="19"/>
      <c r="G224" s="19"/>
      <c r="H224" s="18"/>
      <c r="I224" s="18" t="str">
        <f t="shared" ca="1" si="3"/>
        <v/>
      </c>
      <c r="J224" s="19" t="str">
        <f t="shared" ca="1" si="0"/>
        <v/>
      </c>
      <c r="K224" s="19" t="str">
        <f t="shared" ref="K224:P224" ca="1" si="223">IFERROR(__xludf.DUMMYFUNCTION("iferror(lower(regexreplace(substitute(trim(if(B224="""",""empty"",B224)),"" "",""_""),""[^A-Za-z0-9_]"","""")))"),"empty")</f>
        <v>empty</v>
      </c>
      <c r="L224" s="19" t="str">
        <f t="shared" ca="1" si="223"/>
        <v>empty</v>
      </c>
      <c r="M224" s="19" t="str">
        <f t="shared" ca="1" si="223"/>
        <v>empty</v>
      </c>
      <c r="N224" s="19" t="str">
        <f t="shared" ca="1" si="223"/>
        <v>empty</v>
      </c>
      <c r="O224" s="19" t="str">
        <f t="shared" ca="1" si="223"/>
        <v>empty</v>
      </c>
      <c r="P224" s="19" t="str">
        <f t="shared" ca="1" si="223"/>
        <v>empty</v>
      </c>
      <c r="Q224" s="15" t="str">
        <f t="shared" ca="1" si="2"/>
        <v>www.looney.com</v>
      </c>
    </row>
    <row r="225" spans="1:17" ht="15.75" customHeight="1" x14ac:dyDescent="0.25">
      <c r="A225" s="19"/>
      <c r="B225" s="19"/>
      <c r="C225" s="19"/>
      <c r="D225" s="19"/>
      <c r="E225" s="19"/>
      <c r="F225" s="19"/>
      <c r="G225" s="19"/>
      <c r="H225" s="18"/>
      <c r="I225" s="18" t="str">
        <f t="shared" ca="1" si="3"/>
        <v/>
      </c>
      <c r="J225" s="19" t="str">
        <f t="shared" ca="1" si="0"/>
        <v/>
      </c>
      <c r="K225" s="19" t="str">
        <f t="shared" ref="K225:P225" ca="1" si="224">IFERROR(__xludf.DUMMYFUNCTION("iferror(lower(regexreplace(substitute(trim(if(B225="""",""empty"",B225)),"" "",""_""),""[^A-Za-z0-9_]"","""")))"),"empty")</f>
        <v>empty</v>
      </c>
      <c r="L225" s="19" t="str">
        <f t="shared" ca="1" si="224"/>
        <v>empty</v>
      </c>
      <c r="M225" s="19" t="str">
        <f t="shared" ca="1" si="224"/>
        <v>empty</v>
      </c>
      <c r="N225" s="19" t="str">
        <f t="shared" ca="1" si="224"/>
        <v>empty</v>
      </c>
      <c r="O225" s="19" t="str">
        <f t="shared" ca="1" si="224"/>
        <v>empty</v>
      </c>
      <c r="P225" s="19" t="str">
        <f t="shared" ca="1" si="224"/>
        <v>empty</v>
      </c>
      <c r="Q225" s="15" t="str">
        <f t="shared" ca="1" si="2"/>
        <v>www.looney.com</v>
      </c>
    </row>
    <row r="226" spans="1:17" ht="15.75" customHeight="1" x14ac:dyDescent="0.25">
      <c r="A226" s="19"/>
      <c r="B226" s="19"/>
      <c r="C226" s="19"/>
      <c r="D226" s="19"/>
      <c r="E226" s="19"/>
      <c r="F226" s="19"/>
      <c r="G226" s="19"/>
      <c r="H226" s="18"/>
      <c r="I226" s="18" t="str">
        <f t="shared" ca="1" si="3"/>
        <v/>
      </c>
      <c r="J226" s="19" t="str">
        <f t="shared" ca="1" si="0"/>
        <v/>
      </c>
      <c r="K226" s="19" t="str">
        <f t="shared" ref="K226:P226" ca="1" si="225">IFERROR(__xludf.DUMMYFUNCTION("iferror(lower(regexreplace(substitute(trim(if(B226="""",""empty"",B226)),"" "",""_""),""[^A-Za-z0-9_]"","""")))"),"empty")</f>
        <v>empty</v>
      </c>
      <c r="L226" s="19" t="str">
        <f t="shared" ca="1" si="225"/>
        <v>empty</v>
      </c>
      <c r="M226" s="19" t="str">
        <f t="shared" ca="1" si="225"/>
        <v>empty</v>
      </c>
      <c r="N226" s="19" t="str">
        <f t="shared" ca="1" si="225"/>
        <v>empty</v>
      </c>
      <c r="O226" s="19" t="str">
        <f t="shared" ca="1" si="225"/>
        <v>empty</v>
      </c>
      <c r="P226" s="19" t="str">
        <f t="shared" ca="1" si="225"/>
        <v>empty</v>
      </c>
      <c r="Q226" s="15" t="str">
        <f t="shared" ca="1" si="2"/>
        <v>www.looney.com</v>
      </c>
    </row>
    <row r="227" spans="1:17" ht="15.75" customHeight="1" x14ac:dyDescent="0.25">
      <c r="A227" s="19"/>
      <c r="B227" s="19"/>
      <c r="C227" s="19"/>
      <c r="D227" s="19"/>
      <c r="E227" s="19"/>
      <c r="F227" s="19"/>
      <c r="G227" s="19"/>
      <c r="H227" s="18"/>
      <c r="I227" s="18" t="str">
        <f t="shared" ca="1" si="3"/>
        <v/>
      </c>
      <c r="J227" s="19" t="str">
        <f t="shared" ca="1" si="0"/>
        <v/>
      </c>
      <c r="K227" s="19" t="str">
        <f t="shared" ref="K227:P227" ca="1" si="226">IFERROR(__xludf.DUMMYFUNCTION("iferror(lower(regexreplace(substitute(trim(if(B227="""",""empty"",B227)),"" "",""_""),""[^A-Za-z0-9_]"","""")))"),"empty")</f>
        <v>empty</v>
      </c>
      <c r="L227" s="19" t="str">
        <f t="shared" ca="1" si="226"/>
        <v>empty</v>
      </c>
      <c r="M227" s="19" t="str">
        <f t="shared" ca="1" si="226"/>
        <v>empty</v>
      </c>
      <c r="N227" s="19" t="str">
        <f t="shared" ca="1" si="226"/>
        <v>empty</v>
      </c>
      <c r="O227" s="19" t="str">
        <f t="shared" ca="1" si="226"/>
        <v>empty</v>
      </c>
      <c r="P227" s="19" t="str">
        <f t="shared" ca="1" si="226"/>
        <v>empty</v>
      </c>
      <c r="Q227" s="15" t="str">
        <f t="shared" ca="1" si="2"/>
        <v>www.looney.com</v>
      </c>
    </row>
    <row r="228" spans="1:17" ht="15.75" customHeight="1" x14ac:dyDescent="0.25">
      <c r="A228" s="19"/>
      <c r="B228" s="19"/>
      <c r="C228" s="19"/>
      <c r="D228" s="19"/>
      <c r="E228" s="19"/>
      <c r="F228" s="19"/>
      <c r="G228" s="19"/>
      <c r="H228" s="18"/>
      <c r="I228" s="18" t="str">
        <f t="shared" ca="1" si="3"/>
        <v/>
      </c>
      <c r="J228" s="19" t="str">
        <f t="shared" ca="1" si="0"/>
        <v/>
      </c>
      <c r="K228" s="19" t="str">
        <f t="shared" ref="K228:P228" ca="1" si="227">IFERROR(__xludf.DUMMYFUNCTION("iferror(lower(regexreplace(substitute(trim(if(B228="""",""empty"",B228)),"" "",""_""),""[^A-Za-z0-9_]"","""")))"),"empty")</f>
        <v>empty</v>
      </c>
      <c r="L228" s="19" t="str">
        <f t="shared" ca="1" si="227"/>
        <v>empty</v>
      </c>
      <c r="M228" s="19" t="str">
        <f t="shared" ca="1" si="227"/>
        <v>empty</v>
      </c>
      <c r="N228" s="19" t="str">
        <f t="shared" ca="1" si="227"/>
        <v>empty</v>
      </c>
      <c r="O228" s="19" t="str">
        <f t="shared" ca="1" si="227"/>
        <v>empty</v>
      </c>
      <c r="P228" s="19" t="str">
        <f t="shared" ca="1" si="227"/>
        <v>empty</v>
      </c>
      <c r="Q228" s="15" t="str">
        <f t="shared" ca="1" si="2"/>
        <v>www.looney.com</v>
      </c>
    </row>
    <row r="229" spans="1:17" ht="15.75" customHeight="1" x14ac:dyDescent="0.25">
      <c r="A229" s="19"/>
      <c r="B229" s="19"/>
      <c r="C229" s="19"/>
      <c r="D229" s="19"/>
      <c r="E229" s="19"/>
      <c r="F229" s="19"/>
      <c r="G229" s="19"/>
      <c r="H229" s="18"/>
      <c r="I229" s="18" t="str">
        <f t="shared" ca="1" si="3"/>
        <v/>
      </c>
      <c r="J229" s="19" t="str">
        <f t="shared" ca="1" si="0"/>
        <v/>
      </c>
      <c r="K229" s="19" t="str">
        <f t="shared" ref="K229:P229" ca="1" si="228">IFERROR(__xludf.DUMMYFUNCTION("iferror(lower(regexreplace(substitute(trim(if(B229="""",""empty"",B229)),"" "",""_""),""[^A-Za-z0-9_]"","""")))"),"empty")</f>
        <v>empty</v>
      </c>
      <c r="L229" s="19" t="str">
        <f t="shared" ca="1" si="228"/>
        <v>empty</v>
      </c>
      <c r="M229" s="19" t="str">
        <f t="shared" ca="1" si="228"/>
        <v>empty</v>
      </c>
      <c r="N229" s="19" t="str">
        <f t="shared" ca="1" si="228"/>
        <v>empty</v>
      </c>
      <c r="O229" s="19" t="str">
        <f t="shared" ca="1" si="228"/>
        <v>empty</v>
      </c>
      <c r="P229" s="19" t="str">
        <f t="shared" ca="1" si="228"/>
        <v>empty</v>
      </c>
      <c r="Q229" s="15" t="str">
        <f t="shared" ca="1" si="2"/>
        <v>www.looney.com</v>
      </c>
    </row>
    <row r="230" spans="1:17" ht="15.75" customHeight="1" x14ac:dyDescent="0.25">
      <c r="A230" s="19"/>
      <c r="B230" s="19"/>
      <c r="C230" s="19"/>
      <c r="D230" s="19"/>
      <c r="E230" s="19"/>
      <c r="F230" s="19"/>
      <c r="G230" s="19"/>
      <c r="H230" s="18"/>
      <c r="I230" s="18" t="str">
        <f t="shared" ca="1" si="3"/>
        <v/>
      </c>
      <c r="J230" s="19" t="str">
        <f t="shared" ca="1" si="0"/>
        <v/>
      </c>
      <c r="K230" s="19" t="str">
        <f t="shared" ref="K230:P230" ca="1" si="229">IFERROR(__xludf.DUMMYFUNCTION("iferror(lower(regexreplace(substitute(trim(if(B230="""",""empty"",B230)),"" "",""_""),""[^A-Za-z0-9_]"","""")))"),"empty")</f>
        <v>empty</v>
      </c>
      <c r="L230" s="19" t="str">
        <f t="shared" ca="1" si="229"/>
        <v>empty</v>
      </c>
      <c r="M230" s="19" t="str">
        <f t="shared" ca="1" si="229"/>
        <v>empty</v>
      </c>
      <c r="N230" s="19" t="str">
        <f t="shared" ca="1" si="229"/>
        <v>empty</v>
      </c>
      <c r="O230" s="19" t="str">
        <f t="shared" ca="1" si="229"/>
        <v>empty</v>
      </c>
      <c r="P230" s="19" t="str">
        <f t="shared" ca="1" si="229"/>
        <v>empty</v>
      </c>
      <c r="Q230" s="15" t="str">
        <f t="shared" ca="1" si="2"/>
        <v>www.looney.com</v>
      </c>
    </row>
    <row r="231" spans="1:17" ht="15.75" customHeight="1" x14ac:dyDescent="0.25">
      <c r="A231" s="19"/>
      <c r="B231" s="19"/>
      <c r="C231" s="19"/>
      <c r="D231" s="19"/>
      <c r="E231" s="19"/>
      <c r="F231" s="19"/>
      <c r="G231" s="19"/>
      <c r="H231" s="18"/>
      <c r="I231" s="18" t="str">
        <f t="shared" ca="1" si="3"/>
        <v/>
      </c>
      <c r="J231" s="19" t="str">
        <f t="shared" ca="1" si="0"/>
        <v/>
      </c>
      <c r="K231" s="19" t="str">
        <f t="shared" ref="K231:P231" ca="1" si="230">IFERROR(__xludf.DUMMYFUNCTION("iferror(lower(regexreplace(substitute(trim(if(B231="""",""empty"",B231)),"" "",""_""),""[^A-Za-z0-9_]"","""")))"),"empty")</f>
        <v>empty</v>
      </c>
      <c r="L231" s="19" t="str">
        <f t="shared" ca="1" si="230"/>
        <v>empty</v>
      </c>
      <c r="M231" s="19" t="str">
        <f t="shared" ca="1" si="230"/>
        <v>empty</v>
      </c>
      <c r="N231" s="19" t="str">
        <f t="shared" ca="1" si="230"/>
        <v>empty</v>
      </c>
      <c r="O231" s="19" t="str">
        <f t="shared" ca="1" si="230"/>
        <v>empty</v>
      </c>
      <c r="P231" s="19" t="str">
        <f t="shared" ca="1" si="230"/>
        <v>empty</v>
      </c>
      <c r="Q231" s="15" t="str">
        <f t="shared" ca="1" si="2"/>
        <v>www.looney.com</v>
      </c>
    </row>
    <row r="232" spans="1:17" ht="15.75" customHeight="1" x14ac:dyDescent="0.25">
      <c r="A232" s="19"/>
      <c r="B232" s="19"/>
      <c r="C232" s="19"/>
      <c r="D232" s="19"/>
      <c r="E232" s="19"/>
      <c r="F232" s="19"/>
      <c r="G232" s="19"/>
      <c r="H232" s="18"/>
      <c r="I232" s="18" t="str">
        <f t="shared" ca="1" si="3"/>
        <v/>
      </c>
      <c r="J232" s="19" t="str">
        <f t="shared" ca="1" si="0"/>
        <v/>
      </c>
      <c r="K232" s="19" t="str">
        <f t="shared" ref="K232:P232" ca="1" si="231">IFERROR(__xludf.DUMMYFUNCTION("iferror(lower(regexreplace(substitute(trim(if(B232="""",""empty"",B232)),"" "",""_""),""[^A-Za-z0-9_]"","""")))"),"empty")</f>
        <v>empty</v>
      </c>
      <c r="L232" s="19" t="str">
        <f t="shared" ca="1" si="231"/>
        <v>empty</v>
      </c>
      <c r="M232" s="19" t="str">
        <f t="shared" ca="1" si="231"/>
        <v>empty</v>
      </c>
      <c r="N232" s="19" t="str">
        <f t="shared" ca="1" si="231"/>
        <v>empty</v>
      </c>
      <c r="O232" s="19" t="str">
        <f t="shared" ca="1" si="231"/>
        <v>empty</v>
      </c>
      <c r="P232" s="19" t="str">
        <f t="shared" ca="1" si="231"/>
        <v>empty</v>
      </c>
      <c r="Q232" s="15" t="str">
        <f t="shared" ca="1" si="2"/>
        <v>www.looney.com</v>
      </c>
    </row>
    <row r="233" spans="1:17" ht="15.75" customHeight="1" x14ac:dyDescent="0.25">
      <c r="A233" s="19"/>
      <c r="B233" s="19"/>
      <c r="C233" s="19"/>
      <c r="D233" s="19"/>
      <c r="E233" s="19"/>
      <c r="F233" s="19"/>
      <c r="G233" s="19"/>
      <c r="H233" s="18"/>
      <c r="I233" s="18" t="str">
        <f t="shared" ca="1" si="3"/>
        <v/>
      </c>
      <c r="J233" s="19" t="str">
        <f t="shared" ca="1" si="0"/>
        <v/>
      </c>
      <c r="K233" s="19" t="str">
        <f t="shared" ref="K233:P233" ca="1" si="232">IFERROR(__xludf.DUMMYFUNCTION("iferror(lower(regexreplace(substitute(trim(if(B233="""",""empty"",B233)),"" "",""_""),""[^A-Za-z0-9_]"","""")))"),"empty")</f>
        <v>empty</v>
      </c>
      <c r="L233" s="19" t="str">
        <f t="shared" ca="1" si="232"/>
        <v>empty</v>
      </c>
      <c r="M233" s="19" t="str">
        <f t="shared" ca="1" si="232"/>
        <v>empty</v>
      </c>
      <c r="N233" s="19" t="str">
        <f t="shared" ca="1" si="232"/>
        <v>empty</v>
      </c>
      <c r="O233" s="19" t="str">
        <f t="shared" ca="1" si="232"/>
        <v>empty</v>
      </c>
      <c r="P233" s="19" t="str">
        <f t="shared" ca="1" si="232"/>
        <v>empty</v>
      </c>
      <c r="Q233" s="15" t="str">
        <f t="shared" ca="1" si="2"/>
        <v>www.looney.com</v>
      </c>
    </row>
    <row r="234" spans="1:17" ht="15.75" customHeight="1" x14ac:dyDescent="0.25">
      <c r="A234" s="19"/>
      <c r="B234" s="19"/>
      <c r="C234" s="19"/>
      <c r="D234" s="19"/>
      <c r="E234" s="19"/>
      <c r="F234" s="19"/>
      <c r="G234" s="19"/>
      <c r="H234" s="18"/>
      <c r="I234" s="18" t="str">
        <f t="shared" ca="1" si="3"/>
        <v/>
      </c>
      <c r="J234" s="19" t="str">
        <f t="shared" ca="1" si="0"/>
        <v/>
      </c>
      <c r="K234" s="19" t="str">
        <f t="shared" ref="K234:P234" ca="1" si="233">IFERROR(__xludf.DUMMYFUNCTION("iferror(lower(regexreplace(substitute(trim(if(B234="""",""empty"",B234)),"" "",""_""),""[^A-Za-z0-9_]"","""")))"),"empty")</f>
        <v>empty</v>
      </c>
      <c r="L234" s="19" t="str">
        <f t="shared" ca="1" si="233"/>
        <v>empty</v>
      </c>
      <c r="M234" s="19" t="str">
        <f t="shared" ca="1" si="233"/>
        <v>empty</v>
      </c>
      <c r="N234" s="19" t="str">
        <f t="shared" ca="1" si="233"/>
        <v>empty</v>
      </c>
      <c r="O234" s="19" t="str">
        <f t="shared" ca="1" si="233"/>
        <v>empty</v>
      </c>
      <c r="P234" s="19" t="str">
        <f t="shared" ca="1" si="233"/>
        <v>empty</v>
      </c>
      <c r="Q234" s="15" t="str">
        <f t="shared" ca="1" si="2"/>
        <v>www.looney.com</v>
      </c>
    </row>
    <row r="235" spans="1:17" ht="15.75" customHeight="1" x14ac:dyDescent="0.25">
      <c r="A235" s="19"/>
      <c r="B235" s="19"/>
      <c r="C235" s="19"/>
      <c r="D235" s="19"/>
      <c r="E235" s="19"/>
      <c r="F235" s="19"/>
      <c r="G235" s="19"/>
      <c r="H235" s="18"/>
      <c r="I235" s="18" t="str">
        <f t="shared" ca="1" si="3"/>
        <v/>
      </c>
      <c r="J235" s="19" t="str">
        <f t="shared" ca="1" si="0"/>
        <v/>
      </c>
      <c r="K235" s="19" t="str">
        <f t="shared" ref="K235:P235" ca="1" si="234">IFERROR(__xludf.DUMMYFUNCTION("iferror(lower(regexreplace(substitute(trim(if(B235="""",""empty"",B235)),"" "",""_""),""[^A-Za-z0-9_]"","""")))"),"empty")</f>
        <v>empty</v>
      </c>
      <c r="L235" s="19" t="str">
        <f t="shared" ca="1" si="234"/>
        <v>empty</v>
      </c>
      <c r="M235" s="19" t="str">
        <f t="shared" ca="1" si="234"/>
        <v>empty</v>
      </c>
      <c r="N235" s="19" t="str">
        <f t="shared" ca="1" si="234"/>
        <v>empty</v>
      </c>
      <c r="O235" s="19" t="str">
        <f t="shared" ca="1" si="234"/>
        <v>empty</v>
      </c>
      <c r="P235" s="19" t="str">
        <f t="shared" ca="1" si="234"/>
        <v>empty</v>
      </c>
      <c r="Q235" s="15" t="str">
        <f t="shared" ca="1" si="2"/>
        <v>www.looney.com</v>
      </c>
    </row>
    <row r="236" spans="1:17" ht="15.75" customHeight="1" x14ac:dyDescent="0.25">
      <c r="A236" s="19"/>
      <c r="B236" s="19"/>
      <c r="C236" s="19"/>
      <c r="D236" s="19"/>
      <c r="E236" s="19"/>
      <c r="F236" s="19"/>
      <c r="G236" s="19"/>
      <c r="H236" s="18"/>
      <c r="I236" s="18" t="str">
        <f t="shared" ca="1" si="3"/>
        <v/>
      </c>
      <c r="J236" s="19" t="str">
        <f t="shared" ca="1" si="0"/>
        <v/>
      </c>
      <c r="K236" s="19" t="str">
        <f t="shared" ref="K236:P236" ca="1" si="235">IFERROR(__xludf.DUMMYFUNCTION("iferror(lower(regexreplace(substitute(trim(if(B236="""",""empty"",B236)),"" "",""_""),""[^A-Za-z0-9_]"","""")))"),"empty")</f>
        <v>empty</v>
      </c>
      <c r="L236" s="19" t="str">
        <f t="shared" ca="1" si="235"/>
        <v>empty</v>
      </c>
      <c r="M236" s="19" t="str">
        <f t="shared" ca="1" si="235"/>
        <v>empty</v>
      </c>
      <c r="N236" s="19" t="str">
        <f t="shared" ca="1" si="235"/>
        <v>empty</v>
      </c>
      <c r="O236" s="19" t="str">
        <f t="shared" ca="1" si="235"/>
        <v>empty</v>
      </c>
      <c r="P236" s="19" t="str">
        <f t="shared" ca="1" si="235"/>
        <v>empty</v>
      </c>
      <c r="Q236" s="15" t="str">
        <f t="shared" ca="1" si="2"/>
        <v>www.looney.com</v>
      </c>
    </row>
    <row r="237" spans="1:17" ht="15.75" customHeight="1" x14ac:dyDescent="0.25">
      <c r="A237" s="19"/>
      <c r="B237" s="19"/>
      <c r="C237" s="19"/>
      <c r="D237" s="19"/>
      <c r="E237" s="19"/>
      <c r="F237" s="19"/>
      <c r="G237" s="19"/>
      <c r="H237" s="18"/>
      <c r="I237" s="18" t="str">
        <f t="shared" ca="1" si="3"/>
        <v/>
      </c>
      <c r="J237" s="19" t="str">
        <f t="shared" ca="1" si="0"/>
        <v/>
      </c>
      <c r="K237" s="19" t="str">
        <f t="shared" ref="K237:P237" ca="1" si="236">IFERROR(__xludf.DUMMYFUNCTION("iferror(lower(regexreplace(substitute(trim(if(B237="""",""empty"",B237)),"" "",""_""),""[^A-Za-z0-9_]"","""")))"),"empty")</f>
        <v>empty</v>
      </c>
      <c r="L237" s="19" t="str">
        <f t="shared" ca="1" si="236"/>
        <v>empty</v>
      </c>
      <c r="M237" s="19" t="str">
        <f t="shared" ca="1" si="236"/>
        <v>empty</v>
      </c>
      <c r="N237" s="19" t="str">
        <f t="shared" ca="1" si="236"/>
        <v>empty</v>
      </c>
      <c r="O237" s="19" t="str">
        <f t="shared" ca="1" si="236"/>
        <v>empty</v>
      </c>
      <c r="P237" s="19" t="str">
        <f t="shared" ca="1" si="236"/>
        <v>empty</v>
      </c>
      <c r="Q237" s="15" t="str">
        <f t="shared" ca="1" si="2"/>
        <v>www.looney.com</v>
      </c>
    </row>
    <row r="238" spans="1:17" ht="15.75" customHeight="1" x14ac:dyDescent="0.25">
      <c r="A238" s="19"/>
      <c r="B238" s="19"/>
      <c r="C238" s="19"/>
      <c r="D238" s="19"/>
      <c r="E238" s="19"/>
      <c r="F238" s="19"/>
      <c r="G238" s="19"/>
      <c r="H238" s="18"/>
      <c r="I238" s="18" t="str">
        <f t="shared" ca="1" si="3"/>
        <v/>
      </c>
      <c r="J238" s="19" t="str">
        <f t="shared" ca="1" si="0"/>
        <v/>
      </c>
      <c r="K238" s="19" t="str">
        <f t="shared" ref="K238:P238" ca="1" si="237">IFERROR(__xludf.DUMMYFUNCTION("iferror(lower(regexreplace(substitute(trim(if(B238="""",""empty"",B238)),"" "",""_""),""[^A-Za-z0-9_]"","""")))"),"empty")</f>
        <v>empty</v>
      </c>
      <c r="L238" s="19" t="str">
        <f t="shared" ca="1" si="237"/>
        <v>empty</v>
      </c>
      <c r="M238" s="19" t="str">
        <f t="shared" ca="1" si="237"/>
        <v>empty</v>
      </c>
      <c r="N238" s="19" t="str">
        <f t="shared" ca="1" si="237"/>
        <v>empty</v>
      </c>
      <c r="O238" s="19" t="str">
        <f t="shared" ca="1" si="237"/>
        <v>empty</v>
      </c>
      <c r="P238" s="19" t="str">
        <f t="shared" ca="1" si="237"/>
        <v>empty</v>
      </c>
      <c r="Q238" s="15" t="str">
        <f t="shared" ca="1" si="2"/>
        <v>www.looney.com</v>
      </c>
    </row>
    <row r="239" spans="1:17" ht="15.75" customHeight="1" x14ac:dyDescent="0.25">
      <c r="A239" s="19"/>
      <c r="B239" s="19"/>
      <c r="C239" s="19"/>
      <c r="D239" s="19"/>
      <c r="E239" s="19"/>
      <c r="F239" s="19"/>
      <c r="G239" s="19"/>
      <c r="H239" s="18"/>
      <c r="I239" s="18" t="str">
        <f t="shared" ca="1" si="3"/>
        <v/>
      </c>
      <c r="J239" s="19" t="str">
        <f t="shared" ca="1" si="0"/>
        <v/>
      </c>
      <c r="K239" s="19" t="str">
        <f t="shared" ref="K239:P239" ca="1" si="238">IFERROR(__xludf.DUMMYFUNCTION("iferror(lower(regexreplace(substitute(trim(if(B239="""",""empty"",B239)),"" "",""_""),""[^A-Za-z0-9_]"","""")))"),"empty")</f>
        <v>empty</v>
      </c>
      <c r="L239" s="19" t="str">
        <f t="shared" ca="1" si="238"/>
        <v>empty</v>
      </c>
      <c r="M239" s="19" t="str">
        <f t="shared" ca="1" si="238"/>
        <v>empty</v>
      </c>
      <c r="N239" s="19" t="str">
        <f t="shared" ca="1" si="238"/>
        <v>empty</v>
      </c>
      <c r="O239" s="19" t="str">
        <f t="shared" ca="1" si="238"/>
        <v>empty</v>
      </c>
      <c r="P239" s="19" t="str">
        <f t="shared" ca="1" si="238"/>
        <v>empty</v>
      </c>
      <c r="Q239" s="15" t="str">
        <f t="shared" ca="1" si="2"/>
        <v>www.looney.com</v>
      </c>
    </row>
    <row r="240" spans="1:17" ht="15.75" customHeight="1" x14ac:dyDescent="0.25">
      <c r="A240" s="19"/>
      <c r="B240" s="19"/>
      <c r="C240" s="19"/>
      <c r="D240" s="19"/>
      <c r="E240" s="19"/>
      <c r="F240" s="19"/>
      <c r="G240" s="19"/>
      <c r="H240" s="18"/>
      <c r="I240" s="18" t="str">
        <f t="shared" ca="1" si="3"/>
        <v/>
      </c>
      <c r="J240" s="19" t="str">
        <f t="shared" ca="1" si="0"/>
        <v/>
      </c>
      <c r="K240" s="19" t="str">
        <f t="shared" ref="K240:P240" ca="1" si="239">IFERROR(__xludf.DUMMYFUNCTION("iferror(lower(regexreplace(substitute(trim(if(B240="""",""empty"",B240)),"" "",""_""),""[^A-Za-z0-9_]"","""")))"),"empty")</f>
        <v>empty</v>
      </c>
      <c r="L240" s="19" t="str">
        <f t="shared" ca="1" si="239"/>
        <v>empty</v>
      </c>
      <c r="M240" s="19" t="str">
        <f t="shared" ca="1" si="239"/>
        <v>empty</v>
      </c>
      <c r="N240" s="19" t="str">
        <f t="shared" ca="1" si="239"/>
        <v>empty</v>
      </c>
      <c r="O240" s="19" t="str">
        <f t="shared" ca="1" si="239"/>
        <v>empty</v>
      </c>
      <c r="P240" s="19" t="str">
        <f t="shared" ca="1" si="239"/>
        <v>empty</v>
      </c>
      <c r="Q240" s="15" t="str">
        <f t="shared" ca="1" si="2"/>
        <v>www.looney.com</v>
      </c>
    </row>
    <row r="241" spans="1:17" ht="15.75" customHeight="1" x14ac:dyDescent="0.25">
      <c r="A241" s="19"/>
      <c r="B241" s="19"/>
      <c r="C241" s="19"/>
      <c r="D241" s="19"/>
      <c r="E241" s="19"/>
      <c r="F241" s="19"/>
      <c r="G241" s="19"/>
      <c r="H241" s="18"/>
      <c r="I241" s="18" t="str">
        <f t="shared" ca="1" si="3"/>
        <v/>
      </c>
      <c r="J241" s="19" t="str">
        <f t="shared" ca="1" si="0"/>
        <v/>
      </c>
      <c r="K241" s="19" t="str">
        <f t="shared" ref="K241:P241" ca="1" si="240">IFERROR(__xludf.DUMMYFUNCTION("iferror(lower(regexreplace(substitute(trim(if(B241="""",""empty"",B241)),"" "",""_""),""[^A-Za-z0-9_]"","""")))"),"empty")</f>
        <v>empty</v>
      </c>
      <c r="L241" s="19" t="str">
        <f t="shared" ca="1" si="240"/>
        <v>empty</v>
      </c>
      <c r="M241" s="19" t="str">
        <f t="shared" ca="1" si="240"/>
        <v>empty</v>
      </c>
      <c r="N241" s="19" t="str">
        <f t="shared" ca="1" si="240"/>
        <v>empty</v>
      </c>
      <c r="O241" s="19" t="str">
        <f t="shared" ca="1" si="240"/>
        <v>empty</v>
      </c>
      <c r="P241" s="19" t="str">
        <f t="shared" ca="1" si="240"/>
        <v>empty</v>
      </c>
      <c r="Q241" s="15" t="str">
        <f t="shared" ca="1" si="2"/>
        <v>www.looney.com</v>
      </c>
    </row>
    <row r="242" spans="1:17" ht="15.75" customHeight="1" x14ac:dyDescent="0.25">
      <c r="A242" s="19"/>
      <c r="B242" s="19"/>
      <c r="C242" s="19"/>
      <c r="D242" s="19"/>
      <c r="E242" s="19"/>
      <c r="F242" s="19"/>
      <c r="G242" s="19"/>
      <c r="H242" s="18"/>
      <c r="I242" s="18" t="str">
        <f t="shared" ca="1" si="3"/>
        <v/>
      </c>
      <c r="J242" s="19" t="str">
        <f t="shared" ca="1" si="0"/>
        <v/>
      </c>
      <c r="K242" s="19" t="str">
        <f t="shared" ref="K242:P242" ca="1" si="241">IFERROR(__xludf.DUMMYFUNCTION("iferror(lower(regexreplace(substitute(trim(if(B242="""",""empty"",B242)),"" "",""_""),""[^A-Za-z0-9_]"","""")))"),"empty")</f>
        <v>empty</v>
      </c>
      <c r="L242" s="19" t="str">
        <f t="shared" ca="1" si="241"/>
        <v>empty</v>
      </c>
      <c r="M242" s="19" t="str">
        <f t="shared" ca="1" si="241"/>
        <v>empty</v>
      </c>
      <c r="N242" s="19" t="str">
        <f t="shared" ca="1" si="241"/>
        <v>empty</v>
      </c>
      <c r="O242" s="19" t="str">
        <f t="shared" ca="1" si="241"/>
        <v>empty</v>
      </c>
      <c r="P242" s="19" t="str">
        <f t="shared" ca="1" si="241"/>
        <v>empty</v>
      </c>
      <c r="Q242" s="15" t="str">
        <f t="shared" ca="1" si="2"/>
        <v>www.looney.com</v>
      </c>
    </row>
    <row r="243" spans="1:17" ht="15.75" customHeight="1" x14ac:dyDescent="0.25">
      <c r="A243" s="19"/>
      <c r="B243" s="19"/>
      <c r="C243" s="19"/>
      <c r="D243" s="19"/>
      <c r="E243" s="19"/>
      <c r="F243" s="19"/>
      <c r="G243" s="19"/>
      <c r="H243" s="18"/>
      <c r="I243" s="18" t="str">
        <f t="shared" ca="1" si="3"/>
        <v/>
      </c>
      <c r="J243" s="19" t="str">
        <f t="shared" ca="1" si="0"/>
        <v/>
      </c>
      <c r="K243" s="19" t="str">
        <f t="shared" ref="K243:P243" ca="1" si="242">IFERROR(__xludf.DUMMYFUNCTION("iferror(lower(regexreplace(substitute(trim(if(B243="""",""empty"",B243)),"" "",""_""),""[^A-Za-z0-9_]"","""")))"),"empty")</f>
        <v>empty</v>
      </c>
      <c r="L243" s="19" t="str">
        <f t="shared" ca="1" si="242"/>
        <v>empty</v>
      </c>
      <c r="M243" s="19" t="str">
        <f t="shared" ca="1" si="242"/>
        <v>empty</v>
      </c>
      <c r="N243" s="19" t="str">
        <f t="shared" ca="1" si="242"/>
        <v>empty</v>
      </c>
      <c r="O243" s="19" t="str">
        <f t="shared" ca="1" si="242"/>
        <v>empty</v>
      </c>
      <c r="P243" s="19" t="str">
        <f t="shared" ca="1" si="242"/>
        <v>empty</v>
      </c>
      <c r="Q243" s="15" t="str">
        <f t="shared" ca="1" si="2"/>
        <v>www.looney.com</v>
      </c>
    </row>
    <row r="244" spans="1:17" ht="15.75" customHeight="1" x14ac:dyDescent="0.25">
      <c r="A244" s="19"/>
      <c r="B244" s="19"/>
      <c r="C244" s="19"/>
      <c r="D244" s="19"/>
      <c r="E244" s="19"/>
      <c r="F244" s="19"/>
      <c r="G244" s="19"/>
      <c r="H244" s="18"/>
      <c r="I244" s="18" t="str">
        <f t="shared" ca="1" si="3"/>
        <v/>
      </c>
      <c r="J244" s="19" t="str">
        <f t="shared" ca="1" si="0"/>
        <v/>
      </c>
      <c r="K244" s="19" t="str">
        <f t="shared" ref="K244:P244" ca="1" si="243">IFERROR(__xludf.DUMMYFUNCTION("iferror(lower(regexreplace(substitute(trim(if(B244="""",""empty"",B244)),"" "",""_""),""[^A-Za-z0-9_]"","""")))"),"empty")</f>
        <v>empty</v>
      </c>
      <c r="L244" s="19" t="str">
        <f t="shared" ca="1" si="243"/>
        <v>empty</v>
      </c>
      <c r="M244" s="19" t="str">
        <f t="shared" ca="1" si="243"/>
        <v>empty</v>
      </c>
      <c r="N244" s="19" t="str">
        <f t="shared" ca="1" si="243"/>
        <v>empty</v>
      </c>
      <c r="O244" s="19" t="str">
        <f t="shared" ca="1" si="243"/>
        <v>empty</v>
      </c>
      <c r="P244" s="19" t="str">
        <f t="shared" ca="1" si="243"/>
        <v>empty</v>
      </c>
      <c r="Q244" s="15" t="str">
        <f t="shared" ca="1" si="2"/>
        <v>www.looney.com</v>
      </c>
    </row>
    <row r="245" spans="1:17" ht="15.75" customHeight="1" x14ac:dyDescent="0.25">
      <c r="A245" s="19"/>
      <c r="B245" s="19"/>
      <c r="C245" s="19"/>
      <c r="D245" s="19"/>
      <c r="E245" s="19"/>
      <c r="F245" s="19"/>
      <c r="G245" s="19"/>
      <c r="H245" s="18"/>
      <c r="I245" s="18" t="str">
        <f t="shared" ca="1" si="3"/>
        <v/>
      </c>
      <c r="J245" s="19" t="str">
        <f t="shared" ca="1" si="0"/>
        <v/>
      </c>
      <c r="K245" s="19" t="str">
        <f t="shared" ref="K245:P245" ca="1" si="244">IFERROR(__xludf.DUMMYFUNCTION("iferror(lower(regexreplace(substitute(trim(if(B245="""",""empty"",B245)),"" "",""_""),""[^A-Za-z0-9_]"","""")))"),"empty")</f>
        <v>empty</v>
      </c>
      <c r="L245" s="19" t="str">
        <f t="shared" ca="1" si="244"/>
        <v>empty</v>
      </c>
      <c r="M245" s="19" t="str">
        <f t="shared" ca="1" si="244"/>
        <v>empty</v>
      </c>
      <c r="N245" s="19" t="str">
        <f t="shared" ca="1" si="244"/>
        <v>empty</v>
      </c>
      <c r="O245" s="19" t="str">
        <f t="shared" ca="1" si="244"/>
        <v>empty</v>
      </c>
      <c r="P245" s="19" t="str">
        <f t="shared" ca="1" si="244"/>
        <v>empty</v>
      </c>
      <c r="Q245" s="15" t="str">
        <f t="shared" ca="1" si="2"/>
        <v>www.looney.com</v>
      </c>
    </row>
    <row r="246" spans="1:17" ht="15.75" customHeight="1" x14ac:dyDescent="0.25">
      <c r="A246" s="19"/>
      <c r="B246" s="19"/>
      <c r="C246" s="19"/>
      <c r="D246" s="19"/>
      <c r="E246" s="19"/>
      <c r="F246" s="19"/>
      <c r="G246" s="19"/>
      <c r="H246" s="18"/>
      <c r="I246" s="18" t="str">
        <f t="shared" ca="1" si="3"/>
        <v/>
      </c>
      <c r="J246" s="19" t="str">
        <f t="shared" ca="1" si="0"/>
        <v/>
      </c>
      <c r="K246" s="19" t="str">
        <f t="shared" ref="K246:P246" ca="1" si="245">IFERROR(__xludf.DUMMYFUNCTION("iferror(lower(regexreplace(substitute(trim(if(B246="""",""empty"",B246)),"" "",""_""),""[^A-Za-z0-9_]"","""")))"),"empty")</f>
        <v>empty</v>
      </c>
      <c r="L246" s="19" t="str">
        <f t="shared" ca="1" si="245"/>
        <v>empty</v>
      </c>
      <c r="M246" s="19" t="str">
        <f t="shared" ca="1" si="245"/>
        <v>empty</v>
      </c>
      <c r="N246" s="19" t="str">
        <f t="shared" ca="1" si="245"/>
        <v>empty</v>
      </c>
      <c r="O246" s="19" t="str">
        <f t="shared" ca="1" si="245"/>
        <v>empty</v>
      </c>
      <c r="P246" s="19" t="str">
        <f t="shared" ca="1" si="245"/>
        <v>empty</v>
      </c>
      <c r="Q246" s="15" t="str">
        <f t="shared" ca="1" si="2"/>
        <v>www.looney.com</v>
      </c>
    </row>
    <row r="247" spans="1:17" ht="15.75" customHeight="1" x14ac:dyDescent="0.25">
      <c r="A247" s="19"/>
      <c r="B247" s="19"/>
      <c r="C247" s="19"/>
      <c r="D247" s="19"/>
      <c r="E247" s="19"/>
      <c r="F247" s="19"/>
      <c r="G247" s="19"/>
      <c r="H247" s="18"/>
      <c r="I247" s="18" t="str">
        <f t="shared" ca="1" si="3"/>
        <v/>
      </c>
      <c r="J247" s="19" t="str">
        <f t="shared" ca="1" si="0"/>
        <v/>
      </c>
      <c r="K247" s="19" t="str">
        <f t="shared" ref="K247:P247" ca="1" si="246">IFERROR(__xludf.DUMMYFUNCTION("iferror(lower(regexreplace(substitute(trim(if(B247="""",""empty"",B247)),"" "",""_""),""[^A-Za-z0-9_]"","""")))"),"empty")</f>
        <v>empty</v>
      </c>
      <c r="L247" s="19" t="str">
        <f t="shared" ca="1" si="246"/>
        <v>empty</v>
      </c>
      <c r="M247" s="19" t="str">
        <f t="shared" ca="1" si="246"/>
        <v>empty</v>
      </c>
      <c r="N247" s="19" t="str">
        <f t="shared" ca="1" si="246"/>
        <v>empty</v>
      </c>
      <c r="O247" s="19" t="str">
        <f t="shared" ca="1" si="246"/>
        <v>empty</v>
      </c>
      <c r="P247" s="19" t="str">
        <f t="shared" ca="1" si="246"/>
        <v>empty</v>
      </c>
      <c r="Q247" s="15" t="str">
        <f t="shared" ca="1" si="2"/>
        <v>www.looney.com</v>
      </c>
    </row>
    <row r="248" spans="1:17" ht="15.75" customHeight="1" x14ac:dyDescent="0.25">
      <c r="A248" s="19"/>
      <c r="B248" s="19"/>
      <c r="C248" s="19"/>
      <c r="D248" s="19"/>
      <c r="E248" s="19"/>
      <c r="F248" s="19"/>
      <c r="G248" s="19"/>
      <c r="H248" s="18"/>
      <c r="I248" s="18" t="str">
        <f t="shared" ca="1" si="3"/>
        <v/>
      </c>
      <c r="J248" s="19" t="str">
        <f t="shared" ca="1" si="0"/>
        <v/>
      </c>
      <c r="K248" s="19" t="str">
        <f t="shared" ref="K248:P248" ca="1" si="247">IFERROR(__xludf.DUMMYFUNCTION("iferror(lower(regexreplace(substitute(trim(if(B248="""",""empty"",B248)),"" "",""_""),""[^A-Za-z0-9_]"","""")))"),"empty")</f>
        <v>empty</v>
      </c>
      <c r="L248" s="19" t="str">
        <f t="shared" ca="1" si="247"/>
        <v>empty</v>
      </c>
      <c r="M248" s="19" t="str">
        <f t="shared" ca="1" si="247"/>
        <v>empty</v>
      </c>
      <c r="N248" s="19" t="str">
        <f t="shared" ca="1" si="247"/>
        <v>empty</v>
      </c>
      <c r="O248" s="19" t="str">
        <f t="shared" ca="1" si="247"/>
        <v>empty</v>
      </c>
      <c r="P248" s="19" t="str">
        <f t="shared" ca="1" si="247"/>
        <v>empty</v>
      </c>
      <c r="Q248" s="15" t="str">
        <f t="shared" ca="1" si="2"/>
        <v>www.looney.com</v>
      </c>
    </row>
    <row r="249" spans="1:17" ht="15.75" customHeight="1" x14ac:dyDescent="0.25">
      <c r="A249" s="19"/>
      <c r="B249" s="19"/>
      <c r="C249" s="19"/>
      <c r="D249" s="19"/>
      <c r="E249" s="19"/>
      <c r="F249" s="19"/>
      <c r="G249" s="19"/>
      <c r="H249" s="18"/>
      <c r="I249" s="18" t="str">
        <f t="shared" ca="1" si="3"/>
        <v/>
      </c>
      <c r="J249" s="19" t="str">
        <f t="shared" ca="1" si="0"/>
        <v/>
      </c>
      <c r="K249" s="19" t="str">
        <f t="shared" ref="K249:P249" ca="1" si="248">IFERROR(__xludf.DUMMYFUNCTION("iferror(lower(regexreplace(substitute(trim(if(B249="""",""empty"",B249)),"" "",""_""),""[^A-Za-z0-9_]"","""")))"),"empty")</f>
        <v>empty</v>
      </c>
      <c r="L249" s="19" t="str">
        <f t="shared" ca="1" si="248"/>
        <v>empty</v>
      </c>
      <c r="M249" s="19" t="str">
        <f t="shared" ca="1" si="248"/>
        <v>empty</v>
      </c>
      <c r="N249" s="19" t="str">
        <f t="shared" ca="1" si="248"/>
        <v>empty</v>
      </c>
      <c r="O249" s="19" t="str">
        <f t="shared" ca="1" si="248"/>
        <v>empty</v>
      </c>
      <c r="P249" s="19" t="str">
        <f t="shared" ca="1" si="248"/>
        <v>empty</v>
      </c>
      <c r="Q249" s="15" t="str">
        <f t="shared" ca="1" si="2"/>
        <v>www.looney.com</v>
      </c>
    </row>
    <row r="250" spans="1:17" ht="15.75" customHeight="1" x14ac:dyDescent="0.25">
      <c r="A250" s="19"/>
      <c r="B250" s="19"/>
      <c r="C250" s="19"/>
      <c r="D250" s="19"/>
      <c r="E250" s="19"/>
      <c r="F250" s="19"/>
      <c r="G250" s="19"/>
      <c r="H250" s="18"/>
      <c r="I250" s="18" t="str">
        <f t="shared" ca="1" si="3"/>
        <v/>
      </c>
      <c r="J250" s="19" t="str">
        <f t="shared" ca="1" si="0"/>
        <v/>
      </c>
      <c r="K250" s="19" t="str">
        <f t="shared" ref="K250:P250" ca="1" si="249">IFERROR(__xludf.DUMMYFUNCTION("iferror(lower(regexreplace(substitute(trim(if(B250="""",""empty"",B250)),"" "",""_""),""[^A-Za-z0-9_]"","""")))"),"empty")</f>
        <v>empty</v>
      </c>
      <c r="L250" s="19" t="str">
        <f t="shared" ca="1" si="249"/>
        <v>empty</v>
      </c>
      <c r="M250" s="19" t="str">
        <f t="shared" ca="1" si="249"/>
        <v>empty</v>
      </c>
      <c r="N250" s="19" t="str">
        <f t="shared" ca="1" si="249"/>
        <v>empty</v>
      </c>
      <c r="O250" s="19" t="str">
        <f t="shared" ca="1" si="249"/>
        <v>empty</v>
      </c>
      <c r="P250" s="19" t="str">
        <f t="shared" ca="1" si="249"/>
        <v>empty</v>
      </c>
      <c r="Q250" s="15" t="str">
        <f t="shared" ca="1" si="2"/>
        <v>www.looney.com</v>
      </c>
    </row>
    <row r="251" spans="1:17" ht="15.75" customHeight="1" x14ac:dyDescent="0.25">
      <c r="A251" s="19"/>
      <c r="B251" s="19"/>
      <c r="C251" s="19"/>
      <c r="D251" s="19"/>
      <c r="E251" s="19"/>
      <c r="F251" s="19"/>
      <c r="G251" s="19"/>
      <c r="H251" s="18"/>
      <c r="I251" s="18" t="str">
        <f t="shared" ca="1" si="3"/>
        <v/>
      </c>
      <c r="J251" s="19" t="str">
        <f t="shared" ca="1" si="0"/>
        <v/>
      </c>
      <c r="K251" s="19" t="str">
        <f t="shared" ref="K251:P251" ca="1" si="250">IFERROR(__xludf.DUMMYFUNCTION("iferror(lower(regexreplace(substitute(trim(if(B251="""",""empty"",B251)),"" "",""_""),""[^A-Za-z0-9_]"","""")))"),"empty")</f>
        <v>empty</v>
      </c>
      <c r="L251" s="19" t="str">
        <f t="shared" ca="1" si="250"/>
        <v>empty</v>
      </c>
      <c r="M251" s="19" t="str">
        <f t="shared" ca="1" si="250"/>
        <v>empty</v>
      </c>
      <c r="N251" s="19" t="str">
        <f t="shared" ca="1" si="250"/>
        <v>empty</v>
      </c>
      <c r="O251" s="19" t="str">
        <f t="shared" ca="1" si="250"/>
        <v>empty</v>
      </c>
      <c r="P251" s="19" t="str">
        <f t="shared" ca="1" si="250"/>
        <v>empty</v>
      </c>
      <c r="Q251" s="15" t="str">
        <f t="shared" ca="1" si="2"/>
        <v>www.looney.com</v>
      </c>
    </row>
    <row r="252" spans="1:17" ht="15.75" customHeight="1" x14ac:dyDescent="0.25">
      <c r="A252" s="19"/>
      <c r="B252" s="19"/>
      <c r="C252" s="19"/>
      <c r="D252" s="19"/>
      <c r="E252" s="19"/>
      <c r="F252" s="19"/>
      <c r="G252" s="19"/>
      <c r="H252" s="18"/>
      <c r="I252" s="18" t="str">
        <f t="shared" ca="1" si="3"/>
        <v/>
      </c>
      <c r="J252" s="19" t="str">
        <f t="shared" ca="1" si="0"/>
        <v/>
      </c>
      <c r="K252" s="19" t="str">
        <f t="shared" ref="K252:P252" ca="1" si="251">IFERROR(__xludf.DUMMYFUNCTION("iferror(lower(regexreplace(substitute(trim(if(B252="""",""empty"",B252)),"" "",""_""),""[^A-Za-z0-9_]"","""")))"),"empty")</f>
        <v>empty</v>
      </c>
      <c r="L252" s="19" t="str">
        <f t="shared" ca="1" si="251"/>
        <v>empty</v>
      </c>
      <c r="M252" s="19" t="str">
        <f t="shared" ca="1" si="251"/>
        <v>empty</v>
      </c>
      <c r="N252" s="19" t="str">
        <f t="shared" ca="1" si="251"/>
        <v>empty</v>
      </c>
      <c r="O252" s="19" t="str">
        <f t="shared" ca="1" si="251"/>
        <v>empty</v>
      </c>
      <c r="P252" s="19" t="str">
        <f t="shared" ca="1" si="251"/>
        <v>empty</v>
      </c>
      <c r="Q252" s="15" t="str">
        <f t="shared" ca="1" si="2"/>
        <v>www.looney.com</v>
      </c>
    </row>
    <row r="253" spans="1:17" ht="15.75" customHeight="1" x14ac:dyDescent="0.25">
      <c r="A253" s="19"/>
      <c r="B253" s="19"/>
      <c r="C253" s="19"/>
      <c r="D253" s="19"/>
      <c r="E253" s="19"/>
      <c r="F253" s="19"/>
      <c r="G253" s="19"/>
      <c r="H253" s="18"/>
      <c r="I253" s="18" t="str">
        <f t="shared" ca="1" si="3"/>
        <v/>
      </c>
      <c r="J253" s="19" t="str">
        <f t="shared" ca="1" si="0"/>
        <v/>
      </c>
      <c r="K253" s="19" t="str">
        <f t="shared" ref="K253:P253" ca="1" si="252">IFERROR(__xludf.DUMMYFUNCTION("iferror(lower(regexreplace(substitute(trim(if(B253="""",""empty"",B253)),"" "",""_""),""[^A-Za-z0-9_]"","""")))"),"empty")</f>
        <v>empty</v>
      </c>
      <c r="L253" s="19" t="str">
        <f t="shared" ca="1" si="252"/>
        <v>empty</v>
      </c>
      <c r="M253" s="19" t="str">
        <f t="shared" ca="1" si="252"/>
        <v>empty</v>
      </c>
      <c r="N253" s="19" t="str">
        <f t="shared" ca="1" si="252"/>
        <v>empty</v>
      </c>
      <c r="O253" s="19" t="str">
        <f t="shared" ca="1" si="252"/>
        <v>empty</v>
      </c>
      <c r="P253" s="19" t="str">
        <f t="shared" ca="1" si="252"/>
        <v>empty</v>
      </c>
      <c r="Q253" s="15" t="str">
        <f t="shared" ca="1" si="2"/>
        <v>www.looney.com</v>
      </c>
    </row>
    <row r="254" spans="1:17" ht="15.75" customHeight="1" x14ac:dyDescent="0.25">
      <c r="A254" s="19"/>
      <c r="B254" s="19"/>
      <c r="C254" s="19"/>
      <c r="D254" s="19"/>
      <c r="E254" s="19"/>
      <c r="F254" s="19"/>
      <c r="G254" s="19"/>
      <c r="H254" s="18"/>
      <c r="I254" s="18" t="str">
        <f t="shared" ca="1" si="3"/>
        <v/>
      </c>
      <c r="J254" s="19" t="str">
        <f t="shared" ca="1" si="0"/>
        <v/>
      </c>
      <c r="K254" s="19" t="str">
        <f t="shared" ref="K254:P254" ca="1" si="253">IFERROR(__xludf.DUMMYFUNCTION("iferror(lower(regexreplace(substitute(trim(if(B254="""",""empty"",B254)),"" "",""_""),""[^A-Za-z0-9_]"","""")))"),"empty")</f>
        <v>empty</v>
      </c>
      <c r="L254" s="19" t="str">
        <f t="shared" ca="1" si="253"/>
        <v>empty</v>
      </c>
      <c r="M254" s="19" t="str">
        <f t="shared" ca="1" si="253"/>
        <v>empty</v>
      </c>
      <c r="N254" s="19" t="str">
        <f t="shared" ca="1" si="253"/>
        <v>empty</v>
      </c>
      <c r="O254" s="19" t="str">
        <f t="shared" ca="1" si="253"/>
        <v>empty</v>
      </c>
      <c r="P254" s="19" t="str">
        <f t="shared" ca="1" si="253"/>
        <v>empty</v>
      </c>
      <c r="Q254" s="15" t="str">
        <f t="shared" ca="1" si="2"/>
        <v>www.looney.com</v>
      </c>
    </row>
    <row r="255" spans="1:17" ht="15.75" customHeight="1" x14ac:dyDescent="0.25">
      <c r="A255" s="19"/>
      <c r="B255" s="19"/>
      <c r="C255" s="19"/>
      <c r="D255" s="19"/>
      <c r="E255" s="19"/>
      <c r="F255" s="19"/>
      <c r="G255" s="19"/>
      <c r="H255" s="18"/>
      <c r="I255" s="18" t="str">
        <f t="shared" ca="1" si="3"/>
        <v/>
      </c>
      <c r="J255" s="19" t="str">
        <f t="shared" ca="1" si="0"/>
        <v/>
      </c>
      <c r="K255" s="19" t="str">
        <f t="shared" ref="K255:P255" ca="1" si="254">IFERROR(__xludf.DUMMYFUNCTION("iferror(lower(regexreplace(substitute(trim(if(B255="""",""empty"",B255)),"" "",""_""),""[^A-Za-z0-9_]"","""")))"),"empty")</f>
        <v>empty</v>
      </c>
      <c r="L255" s="19" t="str">
        <f t="shared" ca="1" si="254"/>
        <v>empty</v>
      </c>
      <c r="M255" s="19" t="str">
        <f t="shared" ca="1" si="254"/>
        <v>empty</v>
      </c>
      <c r="N255" s="19" t="str">
        <f t="shared" ca="1" si="254"/>
        <v>empty</v>
      </c>
      <c r="O255" s="19" t="str">
        <f t="shared" ca="1" si="254"/>
        <v>empty</v>
      </c>
      <c r="P255" s="19" t="str">
        <f t="shared" ca="1" si="254"/>
        <v>empty</v>
      </c>
      <c r="Q255" s="15" t="str">
        <f t="shared" ca="1" si="2"/>
        <v>www.looney.com</v>
      </c>
    </row>
    <row r="256" spans="1:17" ht="15.75" customHeight="1" x14ac:dyDescent="0.25">
      <c r="A256" s="19"/>
      <c r="B256" s="19"/>
      <c r="C256" s="19"/>
      <c r="D256" s="19"/>
      <c r="E256" s="19"/>
      <c r="F256" s="19"/>
      <c r="G256" s="19"/>
      <c r="H256" s="18"/>
      <c r="I256" s="18" t="str">
        <f t="shared" ca="1" si="3"/>
        <v/>
      </c>
      <c r="J256" s="19" t="str">
        <f t="shared" ca="1" si="0"/>
        <v/>
      </c>
      <c r="K256" s="19" t="str">
        <f t="shared" ref="K256:P256" ca="1" si="255">IFERROR(__xludf.DUMMYFUNCTION("iferror(lower(regexreplace(substitute(trim(if(B256="""",""empty"",B256)),"" "",""_""),""[^A-Za-z0-9_]"","""")))"),"empty")</f>
        <v>empty</v>
      </c>
      <c r="L256" s="19" t="str">
        <f t="shared" ca="1" si="255"/>
        <v>empty</v>
      </c>
      <c r="M256" s="19" t="str">
        <f t="shared" ca="1" si="255"/>
        <v>empty</v>
      </c>
      <c r="N256" s="19" t="str">
        <f t="shared" ca="1" si="255"/>
        <v>empty</v>
      </c>
      <c r="O256" s="19" t="str">
        <f t="shared" ca="1" si="255"/>
        <v>empty</v>
      </c>
      <c r="P256" s="19" t="str">
        <f t="shared" ca="1" si="255"/>
        <v>empty</v>
      </c>
      <c r="Q256" s="15" t="str">
        <f t="shared" ca="1" si="2"/>
        <v>www.looney.com</v>
      </c>
    </row>
    <row r="257" spans="1:17" ht="15.75" customHeight="1" x14ac:dyDescent="0.25">
      <c r="A257" s="19"/>
      <c r="B257" s="19"/>
      <c r="C257" s="19"/>
      <c r="D257" s="19"/>
      <c r="E257" s="19"/>
      <c r="F257" s="19"/>
      <c r="G257" s="19"/>
      <c r="H257" s="18"/>
      <c r="I257" s="18" t="str">
        <f t="shared" ca="1" si="3"/>
        <v/>
      </c>
      <c r="J257" s="19" t="str">
        <f t="shared" ca="1" si="0"/>
        <v/>
      </c>
      <c r="K257" s="19" t="str">
        <f t="shared" ref="K257:P257" ca="1" si="256">IFERROR(__xludf.DUMMYFUNCTION("iferror(lower(regexreplace(substitute(trim(if(B257="""",""empty"",B257)),"" "",""_""),""[^A-Za-z0-9_]"","""")))"),"empty")</f>
        <v>empty</v>
      </c>
      <c r="L257" s="19" t="str">
        <f t="shared" ca="1" si="256"/>
        <v>empty</v>
      </c>
      <c r="M257" s="19" t="str">
        <f t="shared" ca="1" si="256"/>
        <v>empty</v>
      </c>
      <c r="N257" s="19" t="str">
        <f t="shared" ca="1" si="256"/>
        <v>empty</v>
      </c>
      <c r="O257" s="19" t="str">
        <f t="shared" ca="1" si="256"/>
        <v>empty</v>
      </c>
      <c r="P257" s="19" t="str">
        <f t="shared" ca="1" si="256"/>
        <v>empty</v>
      </c>
      <c r="Q257" s="15" t="str">
        <f t="shared" ca="1" si="2"/>
        <v>www.looney.com</v>
      </c>
    </row>
    <row r="258" spans="1:17" ht="15.75" customHeight="1" x14ac:dyDescent="0.25">
      <c r="A258" s="19"/>
      <c r="B258" s="19"/>
      <c r="C258" s="19"/>
      <c r="D258" s="19"/>
      <c r="E258" s="19"/>
      <c r="F258" s="19"/>
      <c r="G258" s="19"/>
      <c r="H258" s="18"/>
      <c r="I258" s="18" t="str">
        <f t="shared" ca="1" si="3"/>
        <v/>
      </c>
      <c r="J258" s="19" t="str">
        <f t="shared" ca="1" si="0"/>
        <v/>
      </c>
      <c r="K258" s="19" t="str">
        <f t="shared" ref="K258:P258" ca="1" si="257">IFERROR(__xludf.DUMMYFUNCTION("iferror(lower(regexreplace(substitute(trim(if(B258="""",""empty"",B258)),"" "",""_""),""[^A-Za-z0-9_]"","""")))"),"empty")</f>
        <v>empty</v>
      </c>
      <c r="L258" s="19" t="str">
        <f t="shared" ca="1" si="257"/>
        <v>empty</v>
      </c>
      <c r="M258" s="19" t="str">
        <f t="shared" ca="1" si="257"/>
        <v>empty</v>
      </c>
      <c r="N258" s="19" t="str">
        <f t="shared" ca="1" si="257"/>
        <v>empty</v>
      </c>
      <c r="O258" s="19" t="str">
        <f t="shared" ca="1" si="257"/>
        <v>empty</v>
      </c>
      <c r="P258" s="19" t="str">
        <f t="shared" ca="1" si="257"/>
        <v>empty</v>
      </c>
      <c r="Q258" s="15" t="str">
        <f t="shared" ca="1" si="2"/>
        <v>www.looney.com</v>
      </c>
    </row>
    <row r="259" spans="1:17" ht="15.75" customHeight="1" x14ac:dyDescent="0.25">
      <c r="A259" s="19"/>
      <c r="B259" s="19"/>
      <c r="C259" s="19"/>
      <c r="D259" s="19"/>
      <c r="E259" s="19"/>
      <c r="F259" s="19"/>
      <c r="G259" s="19"/>
      <c r="H259" s="18"/>
      <c r="I259" s="18" t="str">
        <f t="shared" ca="1" si="3"/>
        <v/>
      </c>
      <c r="J259" s="19" t="str">
        <f t="shared" ref="J259:J352" ca="1" si="258">IF(K259="empty","",Q259&amp;"?utm_source="&amp;K259&amp;"&amp;utm_campaign="&amp;L259&amp;"&amp;utm_medium="&amp;M259&amp;IF(N259="content",IF(O259="empty","&amp;utm_content="&amp;N259,"&amp;utm_content="&amp;O259),IF(O259="empty","&amp;utm_content="&amp;N259,"&amp;utm_content="&amp;N259&amp;"_"&amp;O259))&amp;"&amp;utm_term="&amp;P259)</f>
        <v/>
      </c>
      <c r="K259" s="19" t="str">
        <f t="shared" ref="K259:P259" ca="1" si="259">IFERROR(__xludf.DUMMYFUNCTION("iferror(lower(regexreplace(substitute(trim(if(B259="""",""empty"",B259)),"" "",""_""),""[^A-Za-z0-9_]"","""")))"),"empty")</f>
        <v>empty</v>
      </c>
      <c r="L259" s="19" t="str">
        <f t="shared" ca="1" si="259"/>
        <v>empty</v>
      </c>
      <c r="M259" s="19" t="str">
        <f t="shared" ca="1" si="259"/>
        <v>empty</v>
      </c>
      <c r="N259" s="19" t="str">
        <f t="shared" ca="1" si="259"/>
        <v>empty</v>
      </c>
      <c r="O259" s="19" t="str">
        <f t="shared" ca="1" si="259"/>
        <v>empty</v>
      </c>
      <c r="P259" s="19" t="str">
        <f t="shared" ca="1" si="259"/>
        <v>empty</v>
      </c>
      <c r="Q259" s="15" t="str">
        <f t="shared" ref="Q259:Q352" ca="1" si="260">IFERROR(__xludf.DUMMYFUNCTION("iferror(if(right(lower(regexreplace(substitute(trim(if(A4="""",""empty"",A4)),"" "",""_""),""[^A-Za-z0-9_\.\:\/\-]"","""")),1)=""/"",left(lower(regexreplace(substitute(trim(if(A4="""",""empty"",A4)),"" "",""_""),""[^A-Za-z0-9_\.\:\/\-]"","""")),len(lower("&amp;"regexreplace(substitute(trim(if(A4="""",""empty"",A4)),"" "",""_""),""[^A-Za-z0-9_\.\:\/\-]"","""")))-1),lower(regexreplace(substitute(trim(if(A4="""",""empty"",A4)),"" "",""_""),""[^A-Za-z0-9_\.\:\/\-]"",""""))))"),"www.looney.com")</f>
        <v>www.looney.com</v>
      </c>
    </row>
    <row r="260" spans="1:17" ht="15.75" customHeight="1" x14ac:dyDescent="0.25">
      <c r="A260" s="19"/>
      <c r="B260" s="19"/>
      <c r="C260" s="19"/>
      <c r="D260" s="19"/>
      <c r="E260" s="19"/>
      <c r="F260" s="19"/>
      <c r="G260" s="19"/>
      <c r="H260" s="18"/>
      <c r="I260" s="18" t="str">
        <f t="shared" ref="I260:I352" ca="1" si="261">IF(K260="empty","","?utm_source="&amp;K260&amp;"&amp;utm_campaign="&amp;L260&amp;"&amp;utm_medium="&amp;M260&amp;IF(N260="content",IF(O260="empty","&amp;utm_content="&amp;N260,"&amp;utm_content="&amp;O260),IF(O260="empty","&amp;utm_content="&amp;N260,"&amp;utm_content="&amp;N260&amp;"_"&amp;O260))&amp;"&amp;utm_term="&amp;P260)</f>
        <v/>
      </c>
      <c r="J260" s="19" t="str">
        <f t="shared" ca="1" si="258"/>
        <v/>
      </c>
      <c r="K260" s="19" t="str">
        <f t="shared" ref="K260:P260" ca="1" si="262">IFERROR(__xludf.DUMMYFUNCTION("iferror(lower(regexreplace(substitute(trim(if(B260="""",""empty"",B260)),"" "",""_""),""[^A-Za-z0-9_]"","""")))"),"empty")</f>
        <v>empty</v>
      </c>
      <c r="L260" s="19" t="str">
        <f t="shared" ca="1" si="262"/>
        <v>empty</v>
      </c>
      <c r="M260" s="19" t="str">
        <f t="shared" ca="1" si="262"/>
        <v>empty</v>
      </c>
      <c r="N260" s="19" t="str">
        <f t="shared" ca="1" si="262"/>
        <v>empty</v>
      </c>
      <c r="O260" s="19" t="str">
        <f t="shared" ca="1" si="262"/>
        <v>empty</v>
      </c>
      <c r="P260" s="19" t="str">
        <f t="shared" ca="1" si="262"/>
        <v>empty</v>
      </c>
      <c r="Q260" s="15" t="str">
        <f t="shared" ca="1" si="260"/>
        <v>www.looney.com</v>
      </c>
    </row>
    <row r="261" spans="1:17" ht="15.75" customHeight="1" x14ac:dyDescent="0.25">
      <c r="A261" s="19"/>
      <c r="B261" s="19"/>
      <c r="C261" s="19"/>
      <c r="D261" s="19"/>
      <c r="E261" s="19"/>
      <c r="F261" s="19"/>
      <c r="G261" s="19"/>
      <c r="H261" s="18"/>
      <c r="I261" s="18" t="str">
        <f t="shared" ca="1" si="261"/>
        <v/>
      </c>
      <c r="J261" s="19" t="str">
        <f t="shared" ca="1" si="258"/>
        <v/>
      </c>
      <c r="K261" s="19" t="str">
        <f t="shared" ref="K261:P261" ca="1" si="263">IFERROR(__xludf.DUMMYFUNCTION("iferror(lower(regexreplace(substitute(trim(if(B261="""",""empty"",B261)),"" "",""_""),""[^A-Za-z0-9_]"","""")))"),"empty")</f>
        <v>empty</v>
      </c>
      <c r="L261" s="19" t="str">
        <f t="shared" ca="1" si="263"/>
        <v>empty</v>
      </c>
      <c r="M261" s="19" t="str">
        <f t="shared" ca="1" si="263"/>
        <v>empty</v>
      </c>
      <c r="N261" s="19" t="str">
        <f t="shared" ca="1" si="263"/>
        <v>empty</v>
      </c>
      <c r="O261" s="19" t="str">
        <f t="shared" ca="1" si="263"/>
        <v>empty</v>
      </c>
      <c r="P261" s="19" t="str">
        <f t="shared" ca="1" si="263"/>
        <v>empty</v>
      </c>
      <c r="Q261" s="15" t="str">
        <f t="shared" ca="1" si="260"/>
        <v>www.looney.com</v>
      </c>
    </row>
    <row r="262" spans="1:17" ht="15.75" customHeight="1" x14ac:dyDescent="0.25">
      <c r="A262" s="19"/>
      <c r="B262" s="19"/>
      <c r="C262" s="19"/>
      <c r="D262" s="19"/>
      <c r="E262" s="19"/>
      <c r="F262" s="19"/>
      <c r="G262" s="19"/>
      <c r="H262" s="18"/>
      <c r="I262" s="18" t="str">
        <f t="shared" ca="1" si="261"/>
        <v/>
      </c>
      <c r="J262" s="19" t="str">
        <f t="shared" ca="1" si="258"/>
        <v/>
      </c>
      <c r="K262" s="19" t="str">
        <f t="shared" ref="K262:P262" ca="1" si="264">IFERROR(__xludf.DUMMYFUNCTION("iferror(lower(regexreplace(substitute(trim(if(B262="""",""empty"",B262)),"" "",""_""),""[^A-Za-z0-9_]"","""")))"),"empty")</f>
        <v>empty</v>
      </c>
      <c r="L262" s="19" t="str">
        <f t="shared" ca="1" si="264"/>
        <v>empty</v>
      </c>
      <c r="M262" s="19" t="str">
        <f t="shared" ca="1" si="264"/>
        <v>empty</v>
      </c>
      <c r="N262" s="19" t="str">
        <f t="shared" ca="1" si="264"/>
        <v>empty</v>
      </c>
      <c r="O262" s="19" t="str">
        <f t="shared" ca="1" si="264"/>
        <v>empty</v>
      </c>
      <c r="P262" s="19" t="str">
        <f t="shared" ca="1" si="264"/>
        <v>empty</v>
      </c>
      <c r="Q262" s="15" t="str">
        <f t="shared" ca="1" si="260"/>
        <v>www.looney.com</v>
      </c>
    </row>
    <row r="263" spans="1:17" ht="15.75" customHeight="1" x14ac:dyDescent="0.25">
      <c r="A263" s="19"/>
      <c r="B263" s="19"/>
      <c r="C263" s="19"/>
      <c r="D263" s="19"/>
      <c r="E263" s="19"/>
      <c r="F263" s="19"/>
      <c r="G263" s="19"/>
      <c r="H263" s="18"/>
      <c r="I263" s="18" t="str">
        <f t="shared" ca="1" si="261"/>
        <v/>
      </c>
      <c r="J263" s="19" t="str">
        <f t="shared" ca="1" si="258"/>
        <v/>
      </c>
      <c r="K263" s="19" t="str">
        <f t="shared" ref="K263:P263" ca="1" si="265">IFERROR(__xludf.DUMMYFUNCTION("iferror(lower(regexreplace(substitute(trim(if(B263="""",""empty"",B263)),"" "",""_""),""[^A-Za-z0-9_]"","""")))"),"empty")</f>
        <v>empty</v>
      </c>
      <c r="L263" s="19" t="str">
        <f t="shared" ca="1" si="265"/>
        <v>empty</v>
      </c>
      <c r="M263" s="19" t="str">
        <f t="shared" ca="1" si="265"/>
        <v>empty</v>
      </c>
      <c r="N263" s="19" t="str">
        <f t="shared" ca="1" si="265"/>
        <v>empty</v>
      </c>
      <c r="O263" s="19" t="str">
        <f t="shared" ca="1" si="265"/>
        <v>empty</v>
      </c>
      <c r="P263" s="19" t="str">
        <f t="shared" ca="1" si="265"/>
        <v>empty</v>
      </c>
      <c r="Q263" s="15" t="str">
        <f t="shared" ca="1" si="260"/>
        <v>www.looney.com</v>
      </c>
    </row>
    <row r="264" spans="1:17" ht="15.75" customHeight="1" x14ac:dyDescent="0.25">
      <c r="A264" s="19"/>
      <c r="B264" s="19"/>
      <c r="C264" s="19"/>
      <c r="D264" s="19"/>
      <c r="E264" s="19"/>
      <c r="F264" s="19"/>
      <c r="G264" s="19"/>
      <c r="H264" s="18"/>
      <c r="I264" s="18" t="str">
        <f t="shared" ca="1" si="261"/>
        <v/>
      </c>
      <c r="J264" s="19" t="str">
        <f t="shared" ca="1" si="258"/>
        <v/>
      </c>
      <c r="K264" s="19" t="str">
        <f t="shared" ref="K264:P264" ca="1" si="266">IFERROR(__xludf.DUMMYFUNCTION("iferror(lower(regexreplace(substitute(trim(if(B264="""",""empty"",B264)),"" "",""_""),""[^A-Za-z0-9_]"","""")))"),"empty")</f>
        <v>empty</v>
      </c>
      <c r="L264" s="19" t="str">
        <f t="shared" ca="1" si="266"/>
        <v>empty</v>
      </c>
      <c r="M264" s="19" t="str">
        <f t="shared" ca="1" si="266"/>
        <v>empty</v>
      </c>
      <c r="N264" s="19" t="str">
        <f t="shared" ca="1" si="266"/>
        <v>empty</v>
      </c>
      <c r="O264" s="19" t="str">
        <f t="shared" ca="1" si="266"/>
        <v>empty</v>
      </c>
      <c r="P264" s="19" t="str">
        <f t="shared" ca="1" si="266"/>
        <v>empty</v>
      </c>
      <c r="Q264" s="15" t="str">
        <f t="shared" ca="1" si="260"/>
        <v>www.looney.com</v>
      </c>
    </row>
    <row r="265" spans="1:17" ht="15.75" customHeight="1" x14ac:dyDescent="0.25">
      <c r="A265" s="19"/>
      <c r="B265" s="19"/>
      <c r="C265" s="19"/>
      <c r="D265" s="19"/>
      <c r="E265" s="19"/>
      <c r="F265" s="19"/>
      <c r="G265" s="19"/>
      <c r="H265" s="18"/>
      <c r="I265" s="18" t="str">
        <f t="shared" ca="1" si="261"/>
        <v/>
      </c>
      <c r="J265" s="19" t="str">
        <f t="shared" ca="1" si="258"/>
        <v/>
      </c>
      <c r="K265" s="19" t="str">
        <f t="shared" ref="K265:P265" ca="1" si="267">IFERROR(__xludf.DUMMYFUNCTION("iferror(lower(regexreplace(substitute(trim(if(B265="""",""empty"",B265)),"" "",""_""),""[^A-Za-z0-9_]"","""")))"),"empty")</f>
        <v>empty</v>
      </c>
      <c r="L265" s="19" t="str">
        <f t="shared" ca="1" si="267"/>
        <v>empty</v>
      </c>
      <c r="M265" s="19" t="str">
        <f t="shared" ca="1" si="267"/>
        <v>empty</v>
      </c>
      <c r="N265" s="19" t="str">
        <f t="shared" ca="1" si="267"/>
        <v>empty</v>
      </c>
      <c r="O265" s="19" t="str">
        <f t="shared" ca="1" si="267"/>
        <v>empty</v>
      </c>
      <c r="P265" s="19" t="str">
        <f t="shared" ca="1" si="267"/>
        <v>empty</v>
      </c>
      <c r="Q265" s="15" t="str">
        <f t="shared" ca="1" si="260"/>
        <v>www.looney.com</v>
      </c>
    </row>
    <row r="266" spans="1:17" ht="15.75" customHeight="1" x14ac:dyDescent="0.25">
      <c r="A266" s="19"/>
      <c r="B266" s="19"/>
      <c r="C266" s="19"/>
      <c r="D266" s="19"/>
      <c r="E266" s="19"/>
      <c r="F266" s="19"/>
      <c r="G266" s="19"/>
      <c r="H266" s="18"/>
      <c r="I266" s="18" t="str">
        <f t="shared" ca="1" si="261"/>
        <v/>
      </c>
      <c r="J266" s="19" t="str">
        <f t="shared" ca="1" si="258"/>
        <v/>
      </c>
      <c r="K266" s="19" t="str">
        <f t="shared" ref="K266:P266" ca="1" si="268">IFERROR(__xludf.DUMMYFUNCTION("iferror(lower(regexreplace(substitute(trim(if(B266="""",""empty"",B266)),"" "",""_""),""[^A-Za-z0-9_]"","""")))"),"empty")</f>
        <v>empty</v>
      </c>
      <c r="L266" s="19" t="str">
        <f t="shared" ca="1" si="268"/>
        <v>empty</v>
      </c>
      <c r="M266" s="19" t="str">
        <f t="shared" ca="1" si="268"/>
        <v>empty</v>
      </c>
      <c r="N266" s="19" t="str">
        <f t="shared" ca="1" si="268"/>
        <v>empty</v>
      </c>
      <c r="O266" s="19" t="str">
        <f t="shared" ca="1" si="268"/>
        <v>empty</v>
      </c>
      <c r="P266" s="19" t="str">
        <f t="shared" ca="1" si="268"/>
        <v>empty</v>
      </c>
      <c r="Q266" s="15" t="str">
        <f t="shared" ca="1" si="260"/>
        <v>www.looney.com</v>
      </c>
    </row>
    <row r="267" spans="1:17" ht="15.75" customHeight="1" x14ac:dyDescent="0.25">
      <c r="A267" s="19"/>
      <c r="B267" s="19"/>
      <c r="C267" s="19"/>
      <c r="D267" s="19"/>
      <c r="E267" s="19"/>
      <c r="F267" s="19"/>
      <c r="G267" s="19"/>
      <c r="H267" s="18"/>
      <c r="I267" s="18" t="str">
        <f t="shared" ca="1" si="261"/>
        <v/>
      </c>
      <c r="J267" s="19" t="str">
        <f t="shared" ca="1" si="258"/>
        <v/>
      </c>
      <c r="K267" s="19" t="str">
        <f t="shared" ref="K267:P267" ca="1" si="269">IFERROR(__xludf.DUMMYFUNCTION("iferror(lower(regexreplace(substitute(trim(if(B267="""",""empty"",B267)),"" "",""_""),""[^A-Za-z0-9_]"","""")))"),"empty")</f>
        <v>empty</v>
      </c>
      <c r="L267" s="19" t="str">
        <f t="shared" ca="1" si="269"/>
        <v>empty</v>
      </c>
      <c r="M267" s="19" t="str">
        <f t="shared" ca="1" si="269"/>
        <v>empty</v>
      </c>
      <c r="N267" s="19" t="str">
        <f t="shared" ca="1" si="269"/>
        <v>empty</v>
      </c>
      <c r="O267" s="19" t="str">
        <f t="shared" ca="1" si="269"/>
        <v>empty</v>
      </c>
      <c r="P267" s="19" t="str">
        <f t="shared" ca="1" si="269"/>
        <v>empty</v>
      </c>
      <c r="Q267" s="15" t="str">
        <f t="shared" ca="1" si="260"/>
        <v>www.looney.com</v>
      </c>
    </row>
    <row r="268" spans="1:17" ht="15.75" customHeight="1" x14ac:dyDescent="0.25">
      <c r="A268" s="19"/>
      <c r="B268" s="19"/>
      <c r="C268" s="19"/>
      <c r="D268" s="19"/>
      <c r="E268" s="19"/>
      <c r="F268" s="19"/>
      <c r="G268" s="19"/>
      <c r="H268" s="18"/>
      <c r="I268" s="18" t="str">
        <f t="shared" ca="1" si="261"/>
        <v/>
      </c>
      <c r="J268" s="19" t="str">
        <f t="shared" ca="1" si="258"/>
        <v/>
      </c>
      <c r="K268" s="19" t="str">
        <f t="shared" ref="K268:P268" ca="1" si="270">IFERROR(__xludf.DUMMYFUNCTION("iferror(lower(regexreplace(substitute(trim(if(B268="""",""empty"",B268)),"" "",""_""),""[^A-Za-z0-9_]"","""")))"),"empty")</f>
        <v>empty</v>
      </c>
      <c r="L268" s="19" t="str">
        <f t="shared" ca="1" si="270"/>
        <v>empty</v>
      </c>
      <c r="M268" s="19" t="str">
        <f t="shared" ca="1" si="270"/>
        <v>empty</v>
      </c>
      <c r="N268" s="19" t="str">
        <f t="shared" ca="1" si="270"/>
        <v>empty</v>
      </c>
      <c r="O268" s="19" t="str">
        <f t="shared" ca="1" si="270"/>
        <v>empty</v>
      </c>
      <c r="P268" s="19" t="str">
        <f t="shared" ca="1" si="270"/>
        <v>empty</v>
      </c>
      <c r="Q268" s="15" t="str">
        <f t="shared" ca="1" si="260"/>
        <v>www.looney.com</v>
      </c>
    </row>
    <row r="269" spans="1:17" ht="15.75" customHeight="1" x14ac:dyDescent="0.25">
      <c r="A269" s="19"/>
      <c r="B269" s="19"/>
      <c r="C269" s="19"/>
      <c r="D269" s="19"/>
      <c r="E269" s="19"/>
      <c r="F269" s="19"/>
      <c r="G269" s="19"/>
      <c r="H269" s="18"/>
      <c r="I269" s="18" t="str">
        <f t="shared" ca="1" si="261"/>
        <v/>
      </c>
      <c r="J269" s="19" t="str">
        <f t="shared" ca="1" si="258"/>
        <v/>
      </c>
      <c r="K269" s="19" t="str">
        <f t="shared" ref="K269:P269" ca="1" si="271">IFERROR(__xludf.DUMMYFUNCTION("iferror(lower(regexreplace(substitute(trim(if(B269="""",""empty"",B269)),"" "",""_""),""[^A-Za-z0-9_]"","""")))"),"empty")</f>
        <v>empty</v>
      </c>
      <c r="L269" s="19" t="str">
        <f t="shared" ca="1" si="271"/>
        <v>empty</v>
      </c>
      <c r="M269" s="19" t="str">
        <f t="shared" ca="1" si="271"/>
        <v>empty</v>
      </c>
      <c r="N269" s="19" t="str">
        <f t="shared" ca="1" si="271"/>
        <v>empty</v>
      </c>
      <c r="O269" s="19" t="str">
        <f t="shared" ca="1" si="271"/>
        <v>empty</v>
      </c>
      <c r="P269" s="19" t="str">
        <f t="shared" ca="1" si="271"/>
        <v>empty</v>
      </c>
      <c r="Q269" s="15" t="str">
        <f t="shared" ca="1" si="260"/>
        <v>www.looney.com</v>
      </c>
    </row>
    <row r="270" spans="1:17" ht="15.75" customHeight="1" x14ac:dyDescent="0.25">
      <c r="A270" s="19"/>
      <c r="B270" s="19"/>
      <c r="C270" s="19"/>
      <c r="D270" s="19"/>
      <c r="E270" s="19"/>
      <c r="F270" s="19"/>
      <c r="G270" s="19"/>
      <c r="H270" s="18"/>
      <c r="I270" s="18" t="str">
        <f t="shared" ca="1" si="261"/>
        <v/>
      </c>
      <c r="J270" s="19" t="str">
        <f t="shared" ca="1" si="258"/>
        <v/>
      </c>
      <c r="K270" s="19" t="str">
        <f t="shared" ref="K270:P270" ca="1" si="272">IFERROR(__xludf.DUMMYFUNCTION("iferror(lower(regexreplace(substitute(trim(if(B270="""",""empty"",B270)),"" "",""_""),""[^A-Za-z0-9_]"","""")))"),"empty")</f>
        <v>empty</v>
      </c>
      <c r="L270" s="19" t="str">
        <f t="shared" ca="1" si="272"/>
        <v>empty</v>
      </c>
      <c r="M270" s="19" t="str">
        <f t="shared" ca="1" si="272"/>
        <v>empty</v>
      </c>
      <c r="N270" s="19" t="str">
        <f t="shared" ca="1" si="272"/>
        <v>empty</v>
      </c>
      <c r="O270" s="19" t="str">
        <f t="shared" ca="1" si="272"/>
        <v>empty</v>
      </c>
      <c r="P270" s="19" t="str">
        <f t="shared" ca="1" si="272"/>
        <v>empty</v>
      </c>
      <c r="Q270" s="15" t="str">
        <f t="shared" ca="1" si="260"/>
        <v>www.looney.com</v>
      </c>
    </row>
    <row r="271" spans="1:17" ht="15.75" customHeight="1" x14ac:dyDescent="0.25">
      <c r="A271" s="19"/>
      <c r="B271" s="19"/>
      <c r="C271" s="19"/>
      <c r="D271" s="19"/>
      <c r="E271" s="19"/>
      <c r="F271" s="19"/>
      <c r="G271" s="19"/>
      <c r="H271" s="18"/>
      <c r="I271" s="18" t="str">
        <f t="shared" ca="1" si="261"/>
        <v/>
      </c>
      <c r="J271" s="19" t="str">
        <f t="shared" ca="1" si="258"/>
        <v/>
      </c>
      <c r="K271" s="19" t="str">
        <f t="shared" ref="K271:P271" ca="1" si="273">IFERROR(__xludf.DUMMYFUNCTION("iferror(lower(regexreplace(substitute(trim(if(B271="""",""empty"",B271)),"" "",""_""),""[^A-Za-z0-9_]"","""")))"),"empty")</f>
        <v>empty</v>
      </c>
      <c r="L271" s="19" t="str">
        <f t="shared" ca="1" si="273"/>
        <v>empty</v>
      </c>
      <c r="M271" s="19" t="str">
        <f t="shared" ca="1" si="273"/>
        <v>empty</v>
      </c>
      <c r="N271" s="19" t="str">
        <f t="shared" ca="1" si="273"/>
        <v>empty</v>
      </c>
      <c r="O271" s="19" t="str">
        <f t="shared" ca="1" si="273"/>
        <v>empty</v>
      </c>
      <c r="P271" s="19" t="str">
        <f t="shared" ca="1" si="273"/>
        <v>empty</v>
      </c>
      <c r="Q271" s="15" t="str">
        <f t="shared" ca="1" si="260"/>
        <v>www.looney.com</v>
      </c>
    </row>
    <row r="272" spans="1:17" ht="15.75" customHeight="1" x14ac:dyDescent="0.25">
      <c r="A272" s="19"/>
      <c r="B272" s="19"/>
      <c r="C272" s="19"/>
      <c r="D272" s="19"/>
      <c r="E272" s="19"/>
      <c r="F272" s="19"/>
      <c r="G272" s="19"/>
      <c r="H272" s="18"/>
      <c r="I272" s="18" t="str">
        <f t="shared" ca="1" si="261"/>
        <v/>
      </c>
      <c r="J272" s="19" t="str">
        <f t="shared" ca="1" si="258"/>
        <v/>
      </c>
      <c r="K272" s="19" t="str">
        <f t="shared" ref="K272:P272" ca="1" si="274">IFERROR(__xludf.DUMMYFUNCTION("iferror(lower(regexreplace(substitute(trim(if(B272="""",""empty"",B272)),"" "",""_""),""[^A-Za-z0-9_]"","""")))"),"empty")</f>
        <v>empty</v>
      </c>
      <c r="L272" s="19" t="str">
        <f t="shared" ca="1" si="274"/>
        <v>empty</v>
      </c>
      <c r="M272" s="19" t="str">
        <f t="shared" ca="1" si="274"/>
        <v>empty</v>
      </c>
      <c r="N272" s="19" t="str">
        <f t="shared" ca="1" si="274"/>
        <v>empty</v>
      </c>
      <c r="O272" s="19" t="str">
        <f t="shared" ca="1" si="274"/>
        <v>empty</v>
      </c>
      <c r="P272" s="19" t="str">
        <f t="shared" ca="1" si="274"/>
        <v>empty</v>
      </c>
      <c r="Q272" s="15" t="str">
        <f t="shared" ca="1" si="260"/>
        <v>www.looney.com</v>
      </c>
    </row>
    <row r="273" spans="1:17" ht="15.75" customHeight="1" x14ac:dyDescent="0.25">
      <c r="A273" s="19"/>
      <c r="B273" s="19"/>
      <c r="C273" s="19"/>
      <c r="D273" s="19"/>
      <c r="E273" s="19"/>
      <c r="F273" s="19"/>
      <c r="G273" s="19"/>
      <c r="H273" s="18"/>
      <c r="I273" s="18" t="str">
        <f t="shared" ca="1" si="261"/>
        <v/>
      </c>
      <c r="J273" s="19" t="str">
        <f t="shared" ca="1" si="258"/>
        <v/>
      </c>
      <c r="K273" s="19" t="str">
        <f t="shared" ref="K273:P273" ca="1" si="275">IFERROR(__xludf.DUMMYFUNCTION("iferror(lower(regexreplace(substitute(trim(if(B273="""",""empty"",B273)),"" "",""_""),""[^A-Za-z0-9_]"","""")))"),"empty")</f>
        <v>empty</v>
      </c>
      <c r="L273" s="19" t="str">
        <f t="shared" ca="1" si="275"/>
        <v>empty</v>
      </c>
      <c r="M273" s="19" t="str">
        <f t="shared" ca="1" si="275"/>
        <v>empty</v>
      </c>
      <c r="N273" s="19" t="str">
        <f t="shared" ca="1" si="275"/>
        <v>empty</v>
      </c>
      <c r="O273" s="19" t="str">
        <f t="shared" ca="1" si="275"/>
        <v>empty</v>
      </c>
      <c r="P273" s="19" t="str">
        <f t="shared" ca="1" si="275"/>
        <v>empty</v>
      </c>
      <c r="Q273" s="15" t="str">
        <f t="shared" ca="1" si="260"/>
        <v>www.looney.com</v>
      </c>
    </row>
    <row r="274" spans="1:17" ht="15.75" customHeight="1" x14ac:dyDescent="0.25">
      <c r="A274" s="19"/>
      <c r="B274" s="19"/>
      <c r="C274" s="19"/>
      <c r="D274" s="19"/>
      <c r="E274" s="19"/>
      <c r="F274" s="19"/>
      <c r="G274" s="19"/>
      <c r="H274" s="18"/>
      <c r="I274" s="18" t="str">
        <f t="shared" ca="1" si="261"/>
        <v/>
      </c>
      <c r="J274" s="19" t="str">
        <f t="shared" ca="1" si="258"/>
        <v/>
      </c>
      <c r="K274" s="19" t="str">
        <f t="shared" ref="K274:P274" ca="1" si="276">IFERROR(__xludf.DUMMYFUNCTION("iferror(lower(regexreplace(substitute(trim(if(B274="""",""empty"",B274)),"" "",""_""),""[^A-Za-z0-9_]"","""")))"),"empty")</f>
        <v>empty</v>
      </c>
      <c r="L274" s="19" t="str">
        <f t="shared" ca="1" si="276"/>
        <v>empty</v>
      </c>
      <c r="M274" s="19" t="str">
        <f t="shared" ca="1" si="276"/>
        <v>empty</v>
      </c>
      <c r="N274" s="19" t="str">
        <f t="shared" ca="1" si="276"/>
        <v>empty</v>
      </c>
      <c r="O274" s="19" t="str">
        <f t="shared" ca="1" si="276"/>
        <v>empty</v>
      </c>
      <c r="P274" s="19" t="str">
        <f t="shared" ca="1" si="276"/>
        <v>empty</v>
      </c>
      <c r="Q274" s="15" t="str">
        <f t="shared" ca="1" si="260"/>
        <v>www.looney.com</v>
      </c>
    </row>
    <row r="275" spans="1:17" ht="15.75" customHeight="1" x14ac:dyDescent="0.25">
      <c r="A275" s="19"/>
      <c r="B275" s="19"/>
      <c r="C275" s="19"/>
      <c r="D275" s="19"/>
      <c r="E275" s="19"/>
      <c r="F275" s="19"/>
      <c r="G275" s="19"/>
      <c r="H275" s="18"/>
      <c r="I275" s="18" t="str">
        <f t="shared" ca="1" si="261"/>
        <v/>
      </c>
      <c r="J275" s="19" t="str">
        <f t="shared" ca="1" si="258"/>
        <v/>
      </c>
      <c r="K275" s="19" t="str">
        <f t="shared" ref="K275:P275" ca="1" si="277">IFERROR(__xludf.DUMMYFUNCTION("iferror(lower(regexreplace(substitute(trim(if(B275="""",""empty"",B275)),"" "",""_""),""[^A-Za-z0-9_]"","""")))"),"empty")</f>
        <v>empty</v>
      </c>
      <c r="L275" s="19" t="str">
        <f t="shared" ca="1" si="277"/>
        <v>empty</v>
      </c>
      <c r="M275" s="19" t="str">
        <f t="shared" ca="1" si="277"/>
        <v>empty</v>
      </c>
      <c r="N275" s="19" t="str">
        <f t="shared" ca="1" si="277"/>
        <v>empty</v>
      </c>
      <c r="O275" s="19" t="str">
        <f t="shared" ca="1" si="277"/>
        <v>empty</v>
      </c>
      <c r="P275" s="19" t="str">
        <f t="shared" ca="1" si="277"/>
        <v>empty</v>
      </c>
      <c r="Q275" s="15" t="str">
        <f t="shared" ca="1" si="260"/>
        <v>www.looney.com</v>
      </c>
    </row>
    <row r="276" spans="1:17" ht="15.75" customHeight="1" x14ac:dyDescent="0.25">
      <c r="A276" s="19"/>
      <c r="B276" s="19"/>
      <c r="C276" s="19"/>
      <c r="D276" s="19"/>
      <c r="E276" s="19"/>
      <c r="F276" s="19"/>
      <c r="G276" s="19"/>
      <c r="H276" s="18"/>
      <c r="I276" s="18" t="str">
        <f t="shared" ca="1" si="261"/>
        <v/>
      </c>
      <c r="J276" s="19" t="str">
        <f t="shared" ca="1" si="258"/>
        <v/>
      </c>
      <c r="K276" s="19" t="str">
        <f t="shared" ref="K276:P276" ca="1" si="278">IFERROR(__xludf.DUMMYFUNCTION("iferror(lower(regexreplace(substitute(trim(if(B276="""",""empty"",B276)),"" "",""_""),""[^A-Za-z0-9_]"","""")))"),"empty")</f>
        <v>empty</v>
      </c>
      <c r="L276" s="19" t="str">
        <f t="shared" ca="1" si="278"/>
        <v>empty</v>
      </c>
      <c r="M276" s="19" t="str">
        <f t="shared" ca="1" si="278"/>
        <v>empty</v>
      </c>
      <c r="N276" s="19" t="str">
        <f t="shared" ca="1" si="278"/>
        <v>empty</v>
      </c>
      <c r="O276" s="19" t="str">
        <f t="shared" ca="1" si="278"/>
        <v>empty</v>
      </c>
      <c r="P276" s="19" t="str">
        <f t="shared" ca="1" si="278"/>
        <v>empty</v>
      </c>
      <c r="Q276" s="15" t="str">
        <f t="shared" ca="1" si="260"/>
        <v>www.looney.com</v>
      </c>
    </row>
    <row r="277" spans="1:17" ht="15.75" customHeight="1" x14ac:dyDescent="0.25">
      <c r="A277" s="19"/>
      <c r="B277" s="19"/>
      <c r="C277" s="19"/>
      <c r="D277" s="19"/>
      <c r="E277" s="19"/>
      <c r="F277" s="19"/>
      <c r="G277" s="19"/>
      <c r="H277" s="18"/>
      <c r="I277" s="18" t="str">
        <f t="shared" ca="1" si="261"/>
        <v/>
      </c>
      <c r="J277" s="19" t="str">
        <f t="shared" ca="1" si="258"/>
        <v/>
      </c>
      <c r="K277" s="19" t="str">
        <f t="shared" ref="K277:P277" ca="1" si="279">IFERROR(__xludf.DUMMYFUNCTION("iferror(lower(regexreplace(substitute(trim(if(B277="""",""empty"",B277)),"" "",""_""),""[^A-Za-z0-9_]"","""")))"),"empty")</f>
        <v>empty</v>
      </c>
      <c r="L277" s="19" t="str">
        <f t="shared" ca="1" si="279"/>
        <v>empty</v>
      </c>
      <c r="M277" s="19" t="str">
        <f t="shared" ca="1" si="279"/>
        <v>empty</v>
      </c>
      <c r="N277" s="19" t="str">
        <f t="shared" ca="1" si="279"/>
        <v>empty</v>
      </c>
      <c r="O277" s="19" t="str">
        <f t="shared" ca="1" si="279"/>
        <v>empty</v>
      </c>
      <c r="P277" s="19" t="str">
        <f t="shared" ca="1" si="279"/>
        <v>empty</v>
      </c>
      <c r="Q277" s="15" t="str">
        <f t="shared" ca="1" si="260"/>
        <v>www.looney.com</v>
      </c>
    </row>
    <row r="278" spans="1:17" ht="15.75" customHeight="1" x14ac:dyDescent="0.25">
      <c r="A278" s="19"/>
      <c r="B278" s="19"/>
      <c r="C278" s="19"/>
      <c r="D278" s="19"/>
      <c r="E278" s="19"/>
      <c r="F278" s="19"/>
      <c r="G278" s="19"/>
      <c r="H278" s="18"/>
      <c r="I278" s="18" t="str">
        <f t="shared" ca="1" si="261"/>
        <v/>
      </c>
      <c r="J278" s="19" t="str">
        <f t="shared" ca="1" si="258"/>
        <v/>
      </c>
      <c r="K278" s="19" t="str">
        <f t="shared" ref="K278:P278" ca="1" si="280">IFERROR(__xludf.DUMMYFUNCTION("iferror(lower(regexreplace(substitute(trim(if(B278="""",""empty"",B278)),"" "",""_""),""[^A-Za-z0-9_]"","""")))"),"empty")</f>
        <v>empty</v>
      </c>
      <c r="L278" s="19" t="str">
        <f t="shared" ca="1" si="280"/>
        <v>empty</v>
      </c>
      <c r="M278" s="19" t="str">
        <f t="shared" ca="1" si="280"/>
        <v>empty</v>
      </c>
      <c r="N278" s="19" t="str">
        <f t="shared" ca="1" si="280"/>
        <v>empty</v>
      </c>
      <c r="O278" s="19" t="str">
        <f t="shared" ca="1" si="280"/>
        <v>empty</v>
      </c>
      <c r="P278" s="19" t="str">
        <f t="shared" ca="1" si="280"/>
        <v>empty</v>
      </c>
      <c r="Q278" s="15" t="str">
        <f t="shared" ca="1" si="260"/>
        <v>www.looney.com</v>
      </c>
    </row>
    <row r="279" spans="1:17" ht="15.75" customHeight="1" x14ac:dyDescent="0.25">
      <c r="A279" s="19"/>
      <c r="B279" s="19"/>
      <c r="C279" s="19"/>
      <c r="D279" s="19"/>
      <c r="E279" s="19"/>
      <c r="F279" s="19"/>
      <c r="G279" s="19"/>
      <c r="H279" s="18"/>
      <c r="I279" s="18" t="str">
        <f t="shared" ca="1" si="261"/>
        <v/>
      </c>
      <c r="J279" s="19" t="str">
        <f t="shared" ca="1" si="258"/>
        <v/>
      </c>
      <c r="K279" s="19" t="str">
        <f t="shared" ref="K279:P279" ca="1" si="281">IFERROR(__xludf.DUMMYFUNCTION("iferror(lower(regexreplace(substitute(trim(if(B279="""",""empty"",B279)),"" "",""_""),""[^A-Za-z0-9_]"","""")))"),"empty")</f>
        <v>empty</v>
      </c>
      <c r="L279" s="19" t="str">
        <f t="shared" ca="1" si="281"/>
        <v>empty</v>
      </c>
      <c r="M279" s="19" t="str">
        <f t="shared" ca="1" si="281"/>
        <v>empty</v>
      </c>
      <c r="N279" s="19" t="str">
        <f t="shared" ca="1" si="281"/>
        <v>empty</v>
      </c>
      <c r="O279" s="19" t="str">
        <f t="shared" ca="1" si="281"/>
        <v>empty</v>
      </c>
      <c r="P279" s="19" t="str">
        <f t="shared" ca="1" si="281"/>
        <v>empty</v>
      </c>
      <c r="Q279" s="15" t="str">
        <f t="shared" ca="1" si="260"/>
        <v>www.looney.com</v>
      </c>
    </row>
    <row r="280" spans="1:17" ht="15.75" customHeight="1" x14ac:dyDescent="0.25">
      <c r="A280" s="19"/>
      <c r="B280" s="19"/>
      <c r="C280" s="19"/>
      <c r="D280" s="19"/>
      <c r="E280" s="19"/>
      <c r="F280" s="19"/>
      <c r="G280" s="19"/>
      <c r="H280" s="18"/>
      <c r="I280" s="18" t="str">
        <f t="shared" ca="1" si="261"/>
        <v/>
      </c>
      <c r="J280" s="19" t="str">
        <f t="shared" ca="1" si="258"/>
        <v/>
      </c>
      <c r="K280" s="19" t="str">
        <f t="shared" ref="K280:P280" ca="1" si="282">IFERROR(__xludf.DUMMYFUNCTION("iferror(lower(regexreplace(substitute(trim(if(B280="""",""empty"",B280)),"" "",""_""),""[^A-Za-z0-9_]"","""")))"),"empty")</f>
        <v>empty</v>
      </c>
      <c r="L280" s="19" t="str">
        <f t="shared" ca="1" si="282"/>
        <v>empty</v>
      </c>
      <c r="M280" s="19" t="str">
        <f t="shared" ca="1" si="282"/>
        <v>empty</v>
      </c>
      <c r="N280" s="19" t="str">
        <f t="shared" ca="1" si="282"/>
        <v>empty</v>
      </c>
      <c r="O280" s="19" t="str">
        <f t="shared" ca="1" si="282"/>
        <v>empty</v>
      </c>
      <c r="P280" s="19" t="str">
        <f t="shared" ca="1" si="282"/>
        <v>empty</v>
      </c>
      <c r="Q280" s="15" t="str">
        <f t="shared" ca="1" si="260"/>
        <v>www.looney.com</v>
      </c>
    </row>
    <row r="281" spans="1:17" ht="15.75" customHeight="1" x14ac:dyDescent="0.25">
      <c r="A281" s="19"/>
      <c r="B281" s="19"/>
      <c r="C281" s="19"/>
      <c r="D281" s="19"/>
      <c r="E281" s="19"/>
      <c r="F281" s="19"/>
      <c r="G281" s="19"/>
      <c r="H281" s="18"/>
      <c r="I281" s="18" t="str">
        <f t="shared" ca="1" si="261"/>
        <v/>
      </c>
      <c r="J281" s="19" t="str">
        <f t="shared" ca="1" si="258"/>
        <v/>
      </c>
      <c r="K281" s="19" t="str">
        <f t="shared" ref="K281:P281" ca="1" si="283">IFERROR(__xludf.DUMMYFUNCTION("iferror(lower(regexreplace(substitute(trim(if(B281="""",""empty"",B281)),"" "",""_""),""[^A-Za-z0-9_]"","""")))"),"empty")</f>
        <v>empty</v>
      </c>
      <c r="L281" s="19" t="str">
        <f t="shared" ca="1" si="283"/>
        <v>empty</v>
      </c>
      <c r="M281" s="19" t="str">
        <f t="shared" ca="1" si="283"/>
        <v>empty</v>
      </c>
      <c r="N281" s="19" t="str">
        <f t="shared" ca="1" si="283"/>
        <v>empty</v>
      </c>
      <c r="O281" s="19" t="str">
        <f t="shared" ca="1" si="283"/>
        <v>empty</v>
      </c>
      <c r="P281" s="19" t="str">
        <f t="shared" ca="1" si="283"/>
        <v>empty</v>
      </c>
      <c r="Q281" s="15" t="str">
        <f t="shared" ca="1" si="260"/>
        <v>www.looney.com</v>
      </c>
    </row>
    <row r="282" spans="1:17" ht="15.75" customHeight="1" x14ac:dyDescent="0.25">
      <c r="A282" s="19"/>
      <c r="B282" s="19"/>
      <c r="C282" s="19"/>
      <c r="D282" s="19"/>
      <c r="E282" s="19"/>
      <c r="F282" s="19"/>
      <c r="G282" s="19"/>
      <c r="H282" s="18"/>
      <c r="I282" s="18" t="str">
        <f t="shared" ca="1" si="261"/>
        <v/>
      </c>
      <c r="J282" s="19" t="str">
        <f t="shared" ca="1" si="258"/>
        <v/>
      </c>
      <c r="K282" s="19" t="str">
        <f t="shared" ref="K282:P282" ca="1" si="284">IFERROR(__xludf.DUMMYFUNCTION("iferror(lower(regexreplace(substitute(trim(if(B282="""",""empty"",B282)),"" "",""_""),""[^A-Za-z0-9_]"","""")))"),"empty")</f>
        <v>empty</v>
      </c>
      <c r="L282" s="19" t="str">
        <f t="shared" ca="1" si="284"/>
        <v>empty</v>
      </c>
      <c r="M282" s="19" t="str">
        <f t="shared" ca="1" si="284"/>
        <v>empty</v>
      </c>
      <c r="N282" s="19" t="str">
        <f t="shared" ca="1" si="284"/>
        <v>empty</v>
      </c>
      <c r="O282" s="19" t="str">
        <f t="shared" ca="1" si="284"/>
        <v>empty</v>
      </c>
      <c r="P282" s="19" t="str">
        <f t="shared" ca="1" si="284"/>
        <v>empty</v>
      </c>
      <c r="Q282" s="15" t="str">
        <f t="shared" ca="1" si="260"/>
        <v>www.looney.com</v>
      </c>
    </row>
    <row r="283" spans="1:17" ht="15.75" customHeight="1" x14ac:dyDescent="0.25">
      <c r="A283" s="19"/>
      <c r="B283" s="19"/>
      <c r="C283" s="19"/>
      <c r="D283" s="19"/>
      <c r="E283" s="19"/>
      <c r="F283" s="19"/>
      <c r="G283" s="19"/>
      <c r="H283" s="18"/>
      <c r="I283" s="18" t="str">
        <f t="shared" ca="1" si="261"/>
        <v/>
      </c>
      <c r="J283" s="19" t="str">
        <f t="shared" ca="1" si="258"/>
        <v/>
      </c>
      <c r="K283" s="19" t="str">
        <f t="shared" ref="K283:P283" ca="1" si="285">IFERROR(__xludf.DUMMYFUNCTION("iferror(lower(regexreplace(substitute(trim(if(B283="""",""empty"",B283)),"" "",""_""),""[^A-Za-z0-9_]"","""")))"),"empty")</f>
        <v>empty</v>
      </c>
      <c r="L283" s="19" t="str">
        <f t="shared" ca="1" si="285"/>
        <v>empty</v>
      </c>
      <c r="M283" s="19" t="str">
        <f t="shared" ca="1" si="285"/>
        <v>empty</v>
      </c>
      <c r="N283" s="19" t="str">
        <f t="shared" ca="1" si="285"/>
        <v>empty</v>
      </c>
      <c r="O283" s="19" t="str">
        <f t="shared" ca="1" si="285"/>
        <v>empty</v>
      </c>
      <c r="P283" s="19" t="str">
        <f t="shared" ca="1" si="285"/>
        <v>empty</v>
      </c>
      <c r="Q283" s="15" t="str">
        <f t="shared" ca="1" si="260"/>
        <v>www.looney.com</v>
      </c>
    </row>
    <row r="284" spans="1:17" ht="15.75" customHeight="1" x14ac:dyDescent="0.25">
      <c r="A284" s="19"/>
      <c r="B284" s="19"/>
      <c r="C284" s="19"/>
      <c r="D284" s="19"/>
      <c r="E284" s="19"/>
      <c r="F284" s="19"/>
      <c r="G284" s="19"/>
      <c r="H284" s="18"/>
      <c r="I284" s="18" t="str">
        <f t="shared" ca="1" si="261"/>
        <v/>
      </c>
      <c r="J284" s="19" t="str">
        <f t="shared" ca="1" si="258"/>
        <v/>
      </c>
      <c r="K284" s="19" t="str">
        <f t="shared" ref="K284:P284" ca="1" si="286">IFERROR(__xludf.DUMMYFUNCTION("iferror(lower(regexreplace(substitute(trim(if(B284="""",""empty"",B284)),"" "",""_""),""[^A-Za-z0-9_]"","""")))"),"empty")</f>
        <v>empty</v>
      </c>
      <c r="L284" s="19" t="str">
        <f t="shared" ca="1" si="286"/>
        <v>empty</v>
      </c>
      <c r="M284" s="19" t="str">
        <f t="shared" ca="1" si="286"/>
        <v>empty</v>
      </c>
      <c r="N284" s="19" t="str">
        <f t="shared" ca="1" si="286"/>
        <v>empty</v>
      </c>
      <c r="O284" s="19" t="str">
        <f t="shared" ca="1" si="286"/>
        <v>empty</v>
      </c>
      <c r="P284" s="19" t="str">
        <f t="shared" ca="1" si="286"/>
        <v>empty</v>
      </c>
      <c r="Q284" s="15" t="str">
        <f t="shared" ca="1" si="260"/>
        <v>www.looney.com</v>
      </c>
    </row>
    <row r="285" spans="1:17" ht="15.75" customHeight="1" x14ac:dyDescent="0.25">
      <c r="A285" s="19"/>
      <c r="B285" s="19"/>
      <c r="C285" s="19"/>
      <c r="D285" s="19"/>
      <c r="E285" s="19"/>
      <c r="F285" s="19"/>
      <c r="G285" s="19"/>
      <c r="H285" s="18"/>
      <c r="I285" s="18" t="str">
        <f t="shared" ca="1" si="261"/>
        <v/>
      </c>
      <c r="J285" s="19" t="str">
        <f t="shared" ca="1" si="258"/>
        <v/>
      </c>
      <c r="K285" s="19" t="str">
        <f t="shared" ref="K285:P285" ca="1" si="287">IFERROR(__xludf.DUMMYFUNCTION("iferror(lower(regexreplace(substitute(trim(if(B285="""",""empty"",B285)),"" "",""_""),""[^A-Za-z0-9_]"","""")))"),"empty")</f>
        <v>empty</v>
      </c>
      <c r="L285" s="19" t="str">
        <f t="shared" ca="1" si="287"/>
        <v>empty</v>
      </c>
      <c r="M285" s="19" t="str">
        <f t="shared" ca="1" si="287"/>
        <v>empty</v>
      </c>
      <c r="N285" s="19" t="str">
        <f t="shared" ca="1" si="287"/>
        <v>empty</v>
      </c>
      <c r="O285" s="19" t="str">
        <f t="shared" ca="1" si="287"/>
        <v>empty</v>
      </c>
      <c r="P285" s="19" t="str">
        <f t="shared" ca="1" si="287"/>
        <v>empty</v>
      </c>
      <c r="Q285" s="15" t="str">
        <f t="shared" ca="1" si="260"/>
        <v>www.looney.com</v>
      </c>
    </row>
    <row r="286" spans="1:17" ht="15.75" customHeight="1" x14ac:dyDescent="0.25">
      <c r="A286" s="19"/>
      <c r="B286" s="19"/>
      <c r="C286" s="19"/>
      <c r="D286" s="19"/>
      <c r="E286" s="19"/>
      <c r="F286" s="19"/>
      <c r="G286" s="19"/>
      <c r="H286" s="18"/>
      <c r="I286" s="18" t="str">
        <f t="shared" ca="1" si="261"/>
        <v/>
      </c>
      <c r="J286" s="19" t="str">
        <f t="shared" ca="1" si="258"/>
        <v/>
      </c>
      <c r="K286" s="19" t="str">
        <f t="shared" ref="K286:P286" ca="1" si="288">IFERROR(__xludf.DUMMYFUNCTION("iferror(lower(regexreplace(substitute(trim(if(B286="""",""empty"",B286)),"" "",""_""),""[^A-Za-z0-9_]"","""")))"),"empty")</f>
        <v>empty</v>
      </c>
      <c r="L286" s="19" t="str">
        <f t="shared" ca="1" si="288"/>
        <v>empty</v>
      </c>
      <c r="M286" s="19" t="str">
        <f t="shared" ca="1" si="288"/>
        <v>empty</v>
      </c>
      <c r="N286" s="19" t="str">
        <f t="shared" ca="1" si="288"/>
        <v>empty</v>
      </c>
      <c r="O286" s="19" t="str">
        <f t="shared" ca="1" si="288"/>
        <v>empty</v>
      </c>
      <c r="P286" s="19" t="str">
        <f t="shared" ca="1" si="288"/>
        <v>empty</v>
      </c>
      <c r="Q286" s="15" t="str">
        <f t="shared" ca="1" si="260"/>
        <v>www.looney.com</v>
      </c>
    </row>
    <row r="287" spans="1:17" ht="15.75" customHeight="1" x14ac:dyDescent="0.25">
      <c r="A287" s="19"/>
      <c r="B287" s="19"/>
      <c r="C287" s="19"/>
      <c r="D287" s="19"/>
      <c r="E287" s="19"/>
      <c r="F287" s="19"/>
      <c r="G287" s="19"/>
      <c r="H287" s="18"/>
      <c r="I287" s="18" t="str">
        <f t="shared" ca="1" si="261"/>
        <v/>
      </c>
      <c r="J287" s="19" t="str">
        <f t="shared" ca="1" si="258"/>
        <v/>
      </c>
      <c r="K287" s="19" t="str">
        <f t="shared" ref="K287:P287" ca="1" si="289">IFERROR(__xludf.DUMMYFUNCTION("iferror(lower(regexreplace(substitute(trim(if(B287="""",""empty"",B287)),"" "",""_""),""[^A-Za-z0-9_]"","""")))"),"empty")</f>
        <v>empty</v>
      </c>
      <c r="L287" s="19" t="str">
        <f t="shared" ca="1" si="289"/>
        <v>empty</v>
      </c>
      <c r="M287" s="19" t="str">
        <f t="shared" ca="1" si="289"/>
        <v>empty</v>
      </c>
      <c r="N287" s="19" t="str">
        <f t="shared" ca="1" si="289"/>
        <v>empty</v>
      </c>
      <c r="O287" s="19" t="str">
        <f t="shared" ca="1" si="289"/>
        <v>empty</v>
      </c>
      <c r="P287" s="19" t="str">
        <f t="shared" ca="1" si="289"/>
        <v>empty</v>
      </c>
      <c r="Q287" s="15" t="str">
        <f t="shared" ca="1" si="260"/>
        <v>www.looney.com</v>
      </c>
    </row>
    <row r="288" spans="1:17" ht="15.75" customHeight="1" x14ac:dyDescent="0.25">
      <c r="A288" s="19"/>
      <c r="B288" s="19"/>
      <c r="C288" s="19"/>
      <c r="D288" s="19"/>
      <c r="E288" s="19"/>
      <c r="F288" s="19"/>
      <c r="G288" s="19"/>
      <c r="H288" s="18"/>
      <c r="I288" s="18" t="str">
        <f t="shared" ca="1" si="261"/>
        <v/>
      </c>
      <c r="J288" s="19" t="str">
        <f t="shared" ca="1" si="258"/>
        <v/>
      </c>
      <c r="K288" s="19" t="str">
        <f t="shared" ref="K288:P288" ca="1" si="290">IFERROR(__xludf.DUMMYFUNCTION("iferror(lower(regexreplace(substitute(trim(if(B288="""",""empty"",B288)),"" "",""_""),""[^A-Za-z0-9_]"","""")))"),"empty")</f>
        <v>empty</v>
      </c>
      <c r="L288" s="19" t="str">
        <f t="shared" ca="1" si="290"/>
        <v>empty</v>
      </c>
      <c r="M288" s="19" t="str">
        <f t="shared" ca="1" si="290"/>
        <v>empty</v>
      </c>
      <c r="N288" s="19" t="str">
        <f t="shared" ca="1" si="290"/>
        <v>empty</v>
      </c>
      <c r="O288" s="19" t="str">
        <f t="shared" ca="1" si="290"/>
        <v>empty</v>
      </c>
      <c r="P288" s="19" t="str">
        <f t="shared" ca="1" si="290"/>
        <v>empty</v>
      </c>
      <c r="Q288" s="15" t="str">
        <f t="shared" ca="1" si="260"/>
        <v>www.looney.com</v>
      </c>
    </row>
    <row r="289" spans="1:17" ht="15.75" customHeight="1" x14ac:dyDescent="0.25">
      <c r="A289" s="19"/>
      <c r="B289" s="19"/>
      <c r="C289" s="19"/>
      <c r="D289" s="19"/>
      <c r="E289" s="19"/>
      <c r="F289" s="19"/>
      <c r="G289" s="19"/>
      <c r="H289" s="18"/>
      <c r="I289" s="18" t="str">
        <f t="shared" ca="1" si="261"/>
        <v/>
      </c>
      <c r="J289" s="19" t="str">
        <f t="shared" ca="1" si="258"/>
        <v/>
      </c>
      <c r="K289" s="19" t="str">
        <f t="shared" ref="K289:P289" ca="1" si="291">IFERROR(__xludf.DUMMYFUNCTION("iferror(lower(regexreplace(substitute(trim(if(B289="""",""empty"",B289)),"" "",""_""),""[^A-Za-z0-9_]"","""")))"),"empty")</f>
        <v>empty</v>
      </c>
      <c r="L289" s="19" t="str">
        <f t="shared" ca="1" si="291"/>
        <v>empty</v>
      </c>
      <c r="M289" s="19" t="str">
        <f t="shared" ca="1" si="291"/>
        <v>empty</v>
      </c>
      <c r="N289" s="19" t="str">
        <f t="shared" ca="1" si="291"/>
        <v>empty</v>
      </c>
      <c r="O289" s="19" t="str">
        <f t="shared" ca="1" si="291"/>
        <v>empty</v>
      </c>
      <c r="P289" s="19" t="str">
        <f t="shared" ca="1" si="291"/>
        <v>empty</v>
      </c>
      <c r="Q289" s="15" t="str">
        <f t="shared" ca="1" si="260"/>
        <v>www.looney.com</v>
      </c>
    </row>
    <row r="290" spans="1:17" ht="15.75" customHeight="1" x14ac:dyDescent="0.25">
      <c r="A290" s="19"/>
      <c r="B290" s="19"/>
      <c r="C290" s="19"/>
      <c r="D290" s="19"/>
      <c r="E290" s="19"/>
      <c r="F290" s="19"/>
      <c r="G290" s="19"/>
      <c r="H290" s="18"/>
      <c r="I290" s="18" t="str">
        <f t="shared" ca="1" si="261"/>
        <v/>
      </c>
      <c r="J290" s="19" t="str">
        <f t="shared" ca="1" si="258"/>
        <v/>
      </c>
      <c r="K290" s="19" t="str">
        <f t="shared" ref="K290:P290" ca="1" si="292">IFERROR(__xludf.DUMMYFUNCTION("iferror(lower(regexreplace(substitute(trim(if(B290="""",""empty"",B290)),"" "",""_""),""[^A-Za-z0-9_]"","""")))"),"empty")</f>
        <v>empty</v>
      </c>
      <c r="L290" s="19" t="str">
        <f t="shared" ca="1" si="292"/>
        <v>empty</v>
      </c>
      <c r="M290" s="19" t="str">
        <f t="shared" ca="1" si="292"/>
        <v>empty</v>
      </c>
      <c r="N290" s="19" t="str">
        <f t="shared" ca="1" si="292"/>
        <v>empty</v>
      </c>
      <c r="O290" s="19" t="str">
        <f t="shared" ca="1" si="292"/>
        <v>empty</v>
      </c>
      <c r="P290" s="19" t="str">
        <f t="shared" ca="1" si="292"/>
        <v>empty</v>
      </c>
      <c r="Q290" s="15" t="str">
        <f t="shared" ca="1" si="260"/>
        <v>www.looney.com</v>
      </c>
    </row>
    <row r="291" spans="1:17" ht="15.75" customHeight="1" x14ac:dyDescent="0.25">
      <c r="A291" s="19"/>
      <c r="B291" s="19"/>
      <c r="C291" s="19"/>
      <c r="D291" s="19"/>
      <c r="E291" s="19"/>
      <c r="F291" s="19"/>
      <c r="G291" s="19"/>
      <c r="H291" s="18"/>
      <c r="I291" s="18" t="str">
        <f t="shared" ca="1" si="261"/>
        <v/>
      </c>
      <c r="J291" s="19" t="str">
        <f t="shared" ca="1" si="258"/>
        <v/>
      </c>
      <c r="K291" s="19" t="str">
        <f t="shared" ref="K291:P291" ca="1" si="293">IFERROR(__xludf.DUMMYFUNCTION("iferror(lower(regexreplace(substitute(trim(if(B291="""",""empty"",B291)),"" "",""_""),""[^A-Za-z0-9_]"","""")))"),"empty")</f>
        <v>empty</v>
      </c>
      <c r="L291" s="19" t="str">
        <f t="shared" ca="1" si="293"/>
        <v>empty</v>
      </c>
      <c r="M291" s="19" t="str">
        <f t="shared" ca="1" si="293"/>
        <v>empty</v>
      </c>
      <c r="N291" s="19" t="str">
        <f t="shared" ca="1" si="293"/>
        <v>empty</v>
      </c>
      <c r="O291" s="19" t="str">
        <f t="shared" ca="1" si="293"/>
        <v>empty</v>
      </c>
      <c r="P291" s="19" t="str">
        <f t="shared" ca="1" si="293"/>
        <v>empty</v>
      </c>
      <c r="Q291" s="15" t="str">
        <f t="shared" ca="1" si="260"/>
        <v>www.looney.com</v>
      </c>
    </row>
    <row r="292" spans="1:17" ht="15.75" customHeight="1" x14ac:dyDescent="0.25">
      <c r="A292" s="19"/>
      <c r="B292" s="19"/>
      <c r="C292" s="19"/>
      <c r="D292" s="19"/>
      <c r="E292" s="19"/>
      <c r="F292" s="19"/>
      <c r="G292" s="19"/>
      <c r="H292" s="18"/>
      <c r="I292" s="18" t="str">
        <f t="shared" ca="1" si="261"/>
        <v/>
      </c>
      <c r="J292" s="19" t="str">
        <f t="shared" ca="1" si="258"/>
        <v/>
      </c>
      <c r="K292" s="19" t="str">
        <f t="shared" ref="K292:P292" ca="1" si="294">IFERROR(__xludf.DUMMYFUNCTION("iferror(lower(regexreplace(substitute(trim(if(B292="""",""empty"",B292)),"" "",""_""),""[^A-Za-z0-9_]"","""")))"),"empty")</f>
        <v>empty</v>
      </c>
      <c r="L292" s="19" t="str">
        <f t="shared" ca="1" si="294"/>
        <v>empty</v>
      </c>
      <c r="M292" s="19" t="str">
        <f t="shared" ca="1" si="294"/>
        <v>empty</v>
      </c>
      <c r="N292" s="19" t="str">
        <f t="shared" ca="1" si="294"/>
        <v>empty</v>
      </c>
      <c r="O292" s="19" t="str">
        <f t="shared" ca="1" si="294"/>
        <v>empty</v>
      </c>
      <c r="P292" s="19" t="str">
        <f t="shared" ca="1" si="294"/>
        <v>empty</v>
      </c>
      <c r="Q292" s="15" t="str">
        <f t="shared" ca="1" si="260"/>
        <v>www.looney.com</v>
      </c>
    </row>
    <row r="293" spans="1:17" ht="15.75" customHeight="1" x14ac:dyDescent="0.25">
      <c r="A293" s="19"/>
      <c r="B293" s="19"/>
      <c r="C293" s="19"/>
      <c r="D293" s="19"/>
      <c r="E293" s="19"/>
      <c r="F293" s="19"/>
      <c r="G293" s="19"/>
      <c r="H293" s="18"/>
      <c r="I293" s="18" t="str">
        <f t="shared" ca="1" si="261"/>
        <v/>
      </c>
      <c r="J293" s="19" t="str">
        <f t="shared" ca="1" si="258"/>
        <v/>
      </c>
      <c r="K293" s="19" t="str">
        <f t="shared" ref="K293:P293" ca="1" si="295">IFERROR(__xludf.DUMMYFUNCTION("iferror(lower(regexreplace(substitute(trim(if(B293="""",""empty"",B293)),"" "",""_""),""[^A-Za-z0-9_]"","""")))"),"empty")</f>
        <v>empty</v>
      </c>
      <c r="L293" s="19" t="str">
        <f t="shared" ca="1" si="295"/>
        <v>empty</v>
      </c>
      <c r="M293" s="19" t="str">
        <f t="shared" ca="1" si="295"/>
        <v>empty</v>
      </c>
      <c r="N293" s="19" t="str">
        <f t="shared" ca="1" si="295"/>
        <v>empty</v>
      </c>
      <c r="O293" s="19" t="str">
        <f t="shared" ca="1" si="295"/>
        <v>empty</v>
      </c>
      <c r="P293" s="19" t="str">
        <f t="shared" ca="1" si="295"/>
        <v>empty</v>
      </c>
      <c r="Q293" s="15" t="str">
        <f t="shared" ca="1" si="260"/>
        <v>www.looney.com</v>
      </c>
    </row>
    <row r="294" spans="1:17" ht="15.75" customHeight="1" x14ac:dyDescent="0.25">
      <c r="A294" s="19"/>
      <c r="B294" s="19"/>
      <c r="C294" s="19"/>
      <c r="D294" s="19"/>
      <c r="E294" s="19"/>
      <c r="F294" s="19"/>
      <c r="G294" s="19"/>
      <c r="H294" s="18"/>
      <c r="I294" s="18" t="str">
        <f t="shared" ca="1" si="261"/>
        <v/>
      </c>
      <c r="J294" s="19" t="str">
        <f t="shared" ca="1" si="258"/>
        <v/>
      </c>
      <c r="K294" s="19" t="str">
        <f t="shared" ref="K294:P294" ca="1" si="296">IFERROR(__xludf.DUMMYFUNCTION("iferror(lower(regexreplace(substitute(trim(if(B294="""",""empty"",B294)),"" "",""_""),""[^A-Za-z0-9_]"","""")))"),"empty")</f>
        <v>empty</v>
      </c>
      <c r="L294" s="19" t="str">
        <f t="shared" ca="1" si="296"/>
        <v>empty</v>
      </c>
      <c r="M294" s="19" t="str">
        <f t="shared" ca="1" si="296"/>
        <v>empty</v>
      </c>
      <c r="N294" s="19" t="str">
        <f t="shared" ca="1" si="296"/>
        <v>empty</v>
      </c>
      <c r="O294" s="19" t="str">
        <f t="shared" ca="1" si="296"/>
        <v>empty</v>
      </c>
      <c r="P294" s="19" t="str">
        <f t="shared" ca="1" si="296"/>
        <v>empty</v>
      </c>
      <c r="Q294" s="15" t="str">
        <f t="shared" ca="1" si="260"/>
        <v>www.looney.com</v>
      </c>
    </row>
    <row r="295" spans="1:17" ht="15.75" customHeight="1" x14ac:dyDescent="0.25">
      <c r="A295" s="19"/>
      <c r="B295" s="19"/>
      <c r="C295" s="19"/>
      <c r="D295" s="19"/>
      <c r="E295" s="19"/>
      <c r="F295" s="19"/>
      <c r="G295" s="19"/>
      <c r="H295" s="18"/>
      <c r="I295" s="18" t="str">
        <f t="shared" ca="1" si="261"/>
        <v/>
      </c>
      <c r="J295" s="19" t="str">
        <f t="shared" ca="1" si="258"/>
        <v/>
      </c>
      <c r="K295" s="19" t="str">
        <f t="shared" ref="K295:P295" ca="1" si="297">IFERROR(__xludf.DUMMYFUNCTION("iferror(lower(regexreplace(substitute(trim(if(B295="""",""empty"",B295)),"" "",""_""),""[^A-Za-z0-9_]"","""")))"),"empty")</f>
        <v>empty</v>
      </c>
      <c r="L295" s="19" t="str">
        <f t="shared" ca="1" si="297"/>
        <v>empty</v>
      </c>
      <c r="M295" s="19" t="str">
        <f t="shared" ca="1" si="297"/>
        <v>empty</v>
      </c>
      <c r="N295" s="19" t="str">
        <f t="shared" ca="1" si="297"/>
        <v>empty</v>
      </c>
      <c r="O295" s="19" t="str">
        <f t="shared" ca="1" si="297"/>
        <v>empty</v>
      </c>
      <c r="P295" s="19" t="str">
        <f t="shared" ca="1" si="297"/>
        <v>empty</v>
      </c>
      <c r="Q295" s="15" t="str">
        <f t="shared" ca="1" si="260"/>
        <v>www.looney.com</v>
      </c>
    </row>
    <row r="296" spans="1:17" ht="15.75" customHeight="1" x14ac:dyDescent="0.25">
      <c r="A296" s="19"/>
      <c r="B296" s="19"/>
      <c r="C296" s="19"/>
      <c r="D296" s="19"/>
      <c r="E296" s="19"/>
      <c r="F296" s="19"/>
      <c r="G296" s="19"/>
      <c r="H296" s="18"/>
      <c r="I296" s="18" t="str">
        <f t="shared" ca="1" si="261"/>
        <v/>
      </c>
      <c r="J296" s="19" t="str">
        <f t="shared" ca="1" si="258"/>
        <v/>
      </c>
      <c r="K296" s="19" t="str">
        <f t="shared" ref="K296:P296" ca="1" si="298">IFERROR(__xludf.DUMMYFUNCTION("iferror(lower(regexreplace(substitute(trim(if(B296="""",""empty"",B296)),"" "",""_""),""[^A-Za-z0-9_]"","""")))"),"empty")</f>
        <v>empty</v>
      </c>
      <c r="L296" s="19" t="str">
        <f t="shared" ca="1" si="298"/>
        <v>empty</v>
      </c>
      <c r="M296" s="19" t="str">
        <f t="shared" ca="1" si="298"/>
        <v>empty</v>
      </c>
      <c r="N296" s="19" t="str">
        <f t="shared" ca="1" si="298"/>
        <v>empty</v>
      </c>
      <c r="O296" s="19" t="str">
        <f t="shared" ca="1" si="298"/>
        <v>empty</v>
      </c>
      <c r="P296" s="19" t="str">
        <f t="shared" ca="1" si="298"/>
        <v>empty</v>
      </c>
      <c r="Q296" s="15" t="str">
        <f t="shared" ca="1" si="260"/>
        <v>www.looney.com</v>
      </c>
    </row>
    <row r="297" spans="1:17" ht="15.75" customHeight="1" x14ac:dyDescent="0.25">
      <c r="A297" s="19"/>
      <c r="B297" s="19"/>
      <c r="C297" s="19"/>
      <c r="D297" s="19"/>
      <c r="E297" s="19"/>
      <c r="F297" s="19"/>
      <c r="G297" s="19"/>
      <c r="H297" s="18"/>
      <c r="I297" s="18" t="str">
        <f t="shared" ca="1" si="261"/>
        <v/>
      </c>
      <c r="J297" s="19" t="str">
        <f t="shared" ca="1" si="258"/>
        <v/>
      </c>
      <c r="K297" s="19" t="str">
        <f t="shared" ref="K297:P297" ca="1" si="299">IFERROR(__xludf.DUMMYFUNCTION("iferror(lower(regexreplace(substitute(trim(if(B297="""",""empty"",B297)),"" "",""_""),""[^A-Za-z0-9_]"","""")))"),"empty")</f>
        <v>empty</v>
      </c>
      <c r="L297" s="19" t="str">
        <f t="shared" ca="1" si="299"/>
        <v>empty</v>
      </c>
      <c r="M297" s="19" t="str">
        <f t="shared" ca="1" si="299"/>
        <v>empty</v>
      </c>
      <c r="N297" s="19" t="str">
        <f t="shared" ca="1" si="299"/>
        <v>empty</v>
      </c>
      <c r="O297" s="19" t="str">
        <f t="shared" ca="1" si="299"/>
        <v>empty</v>
      </c>
      <c r="P297" s="19" t="str">
        <f t="shared" ca="1" si="299"/>
        <v>empty</v>
      </c>
      <c r="Q297" s="15" t="str">
        <f t="shared" ca="1" si="260"/>
        <v>www.looney.com</v>
      </c>
    </row>
    <row r="298" spans="1:17" ht="15.75" customHeight="1" x14ac:dyDescent="0.25">
      <c r="A298" s="19"/>
      <c r="B298" s="19"/>
      <c r="C298" s="19"/>
      <c r="D298" s="19"/>
      <c r="E298" s="19"/>
      <c r="F298" s="19"/>
      <c r="G298" s="19"/>
      <c r="H298" s="18"/>
      <c r="I298" s="18" t="str">
        <f t="shared" ca="1" si="261"/>
        <v/>
      </c>
      <c r="J298" s="19" t="str">
        <f t="shared" ca="1" si="258"/>
        <v/>
      </c>
      <c r="K298" s="19" t="str">
        <f t="shared" ref="K298:P298" ca="1" si="300">IFERROR(__xludf.DUMMYFUNCTION("iferror(lower(regexreplace(substitute(trim(if(B298="""",""empty"",B298)),"" "",""_""),""[^A-Za-z0-9_]"","""")))"),"empty")</f>
        <v>empty</v>
      </c>
      <c r="L298" s="19" t="str">
        <f t="shared" ca="1" si="300"/>
        <v>empty</v>
      </c>
      <c r="M298" s="19" t="str">
        <f t="shared" ca="1" si="300"/>
        <v>empty</v>
      </c>
      <c r="N298" s="19" t="str">
        <f t="shared" ca="1" si="300"/>
        <v>empty</v>
      </c>
      <c r="O298" s="19" t="str">
        <f t="shared" ca="1" si="300"/>
        <v>empty</v>
      </c>
      <c r="P298" s="19" t="str">
        <f t="shared" ca="1" si="300"/>
        <v>empty</v>
      </c>
      <c r="Q298" s="15" t="str">
        <f t="shared" ca="1" si="260"/>
        <v>www.looney.com</v>
      </c>
    </row>
    <row r="299" spans="1:17" ht="15.75" customHeight="1" x14ac:dyDescent="0.25">
      <c r="A299" s="19"/>
      <c r="B299" s="19"/>
      <c r="C299" s="19"/>
      <c r="D299" s="19"/>
      <c r="E299" s="19"/>
      <c r="F299" s="19"/>
      <c r="G299" s="19"/>
      <c r="H299" s="18"/>
      <c r="I299" s="18" t="str">
        <f t="shared" ca="1" si="261"/>
        <v/>
      </c>
      <c r="J299" s="19" t="str">
        <f t="shared" ca="1" si="258"/>
        <v/>
      </c>
      <c r="K299" s="19" t="str">
        <f t="shared" ref="K299:P299" ca="1" si="301">IFERROR(__xludf.DUMMYFUNCTION("iferror(lower(regexreplace(substitute(trim(if(B299="""",""empty"",B299)),"" "",""_""),""[^A-Za-z0-9_]"","""")))"),"empty")</f>
        <v>empty</v>
      </c>
      <c r="L299" s="19" t="str">
        <f t="shared" ca="1" si="301"/>
        <v>empty</v>
      </c>
      <c r="M299" s="19" t="str">
        <f t="shared" ca="1" si="301"/>
        <v>empty</v>
      </c>
      <c r="N299" s="19" t="str">
        <f t="shared" ca="1" si="301"/>
        <v>empty</v>
      </c>
      <c r="O299" s="19" t="str">
        <f t="shared" ca="1" si="301"/>
        <v>empty</v>
      </c>
      <c r="P299" s="19" t="str">
        <f t="shared" ca="1" si="301"/>
        <v>empty</v>
      </c>
      <c r="Q299" s="15" t="str">
        <f t="shared" ca="1" si="260"/>
        <v>www.looney.com</v>
      </c>
    </row>
    <row r="300" spans="1:17" ht="15.75" customHeight="1" x14ac:dyDescent="0.25">
      <c r="A300" s="19"/>
      <c r="B300" s="19"/>
      <c r="C300" s="19"/>
      <c r="D300" s="19"/>
      <c r="E300" s="19"/>
      <c r="F300" s="19"/>
      <c r="G300" s="19"/>
      <c r="H300" s="18"/>
      <c r="I300" s="18" t="str">
        <f t="shared" ca="1" si="261"/>
        <v/>
      </c>
      <c r="J300" s="19" t="str">
        <f t="shared" ca="1" si="258"/>
        <v/>
      </c>
      <c r="K300" s="19" t="str">
        <f t="shared" ref="K300:P300" ca="1" si="302">IFERROR(__xludf.DUMMYFUNCTION("iferror(lower(regexreplace(substitute(trim(if(B300="""",""empty"",B300)),"" "",""_""),""[^A-Za-z0-9_]"","""")))"),"empty")</f>
        <v>empty</v>
      </c>
      <c r="L300" s="19" t="str">
        <f t="shared" ca="1" si="302"/>
        <v>empty</v>
      </c>
      <c r="M300" s="19" t="str">
        <f t="shared" ca="1" si="302"/>
        <v>empty</v>
      </c>
      <c r="N300" s="19" t="str">
        <f t="shared" ca="1" si="302"/>
        <v>empty</v>
      </c>
      <c r="O300" s="19" t="str">
        <f t="shared" ca="1" si="302"/>
        <v>empty</v>
      </c>
      <c r="P300" s="19" t="str">
        <f t="shared" ca="1" si="302"/>
        <v>empty</v>
      </c>
      <c r="Q300" s="15" t="str">
        <f t="shared" ca="1" si="260"/>
        <v>www.looney.com</v>
      </c>
    </row>
    <row r="301" spans="1:17" ht="15.75" customHeight="1" x14ac:dyDescent="0.25">
      <c r="A301" s="19"/>
      <c r="B301" s="19"/>
      <c r="C301" s="19"/>
      <c r="D301" s="19"/>
      <c r="E301" s="19"/>
      <c r="F301" s="19"/>
      <c r="G301" s="19"/>
      <c r="H301" s="18"/>
      <c r="I301" s="18" t="str">
        <f t="shared" ca="1" si="261"/>
        <v/>
      </c>
      <c r="J301" s="19" t="str">
        <f t="shared" ca="1" si="258"/>
        <v/>
      </c>
      <c r="K301" s="19" t="str">
        <f t="shared" ref="K301:P301" ca="1" si="303">IFERROR(__xludf.DUMMYFUNCTION("iferror(lower(regexreplace(substitute(trim(if(B301="""",""empty"",B301)),"" "",""_""),""[^A-Za-z0-9_]"","""")))"),"empty")</f>
        <v>empty</v>
      </c>
      <c r="L301" s="19" t="str">
        <f t="shared" ca="1" si="303"/>
        <v>empty</v>
      </c>
      <c r="M301" s="19" t="str">
        <f t="shared" ca="1" si="303"/>
        <v>empty</v>
      </c>
      <c r="N301" s="19" t="str">
        <f t="shared" ca="1" si="303"/>
        <v>empty</v>
      </c>
      <c r="O301" s="19" t="str">
        <f t="shared" ca="1" si="303"/>
        <v>empty</v>
      </c>
      <c r="P301" s="19" t="str">
        <f t="shared" ca="1" si="303"/>
        <v>empty</v>
      </c>
      <c r="Q301" s="15" t="str">
        <f t="shared" ca="1" si="260"/>
        <v>www.looney.com</v>
      </c>
    </row>
    <row r="302" spans="1:17" ht="15.75" customHeight="1" x14ac:dyDescent="0.25">
      <c r="A302" s="19"/>
      <c r="B302" s="19"/>
      <c r="C302" s="19"/>
      <c r="D302" s="19"/>
      <c r="E302" s="19"/>
      <c r="F302" s="19"/>
      <c r="G302" s="19"/>
      <c r="H302" s="18"/>
      <c r="I302" s="18" t="str">
        <f t="shared" ca="1" si="261"/>
        <v/>
      </c>
      <c r="J302" s="19" t="str">
        <f t="shared" ca="1" si="258"/>
        <v/>
      </c>
      <c r="K302" s="19" t="str">
        <f t="shared" ref="K302:P302" ca="1" si="304">IFERROR(__xludf.DUMMYFUNCTION("iferror(lower(regexreplace(substitute(trim(if(B302="""",""empty"",B302)),"" "",""_""),""[^A-Za-z0-9_]"","""")))"),"empty")</f>
        <v>empty</v>
      </c>
      <c r="L302" s="19" t="str">
        <f t="shared" ca="1" si="304"/>
        <v>empty</v>
      </c>
      <c r="M302" s="19" t="str">
        <f t="shared" ca="1" si="304"/>
        <v>empty</v>
      </c>
      <c r="N302" s="19" t="str">
        <f t="shared" ca="1" si="304"/>
        <v>empty</v>
      </c>
      <c r="O302" s="19" t="str">
        <f t="shared" ca="1" si="304"/>
        <v>empty</v>
      </c>
      <c r="P302" s="19" t="str">
        <f t="shared" ca="1" si="304"/>
        <v>empty</v>
      </c>
      <c r="Q302" s="15" t="str">
        <f t="shared" ca="1" si="260"/>
        <v>www.looney.com</v>
      </c>
    </row>
    <row r="303" spans="1:17" ht="15.75" customHeight="1" x14ac:dyDescent="0.25">
      <c r="A303" s="19"/>
      <c r="B303" s="19"/>
      <c r="C303" s="19"/>
      <c r="D303" s="19"/>
      <c r="E303" s="19"/>
      <c r="F303" s="19"/>
      <c r="G303" s="19"/>
      <c r="H303" s="18"/>
      <c r="I303" s="18" t="str">
        <f t="shared" ca="1" si="261"/>
        <v/>
      </c>
      <c r="J303" s="19" t="str">
        <f t="shared" ca="1" si="258"/>
        <v/>
      </c>
      <c r="K303" s="19" t="str">
        <f t="shared" ref="K303:P303" ca="1" si="305">IFERROR(__xludf.DUMMYFUNCTION("iferror(lower(regexreplace(substitute(trim(if(B303="""",""empty"",B303)),"" "",""_""),""[^A-Za-z0-9_]"","""")))"),"empty")</f>
        <v>empty</v>
      </c>
      <c r="L303" s="19" t="str">
        <f t="shared" ca="1" si="305"/>
        <v>empty</v>
      </c>
      <c r="M303" s="19" t="str">
        <f t="shared" ca="1" si="305"/>
        <v>empty</v>
      </c>
      <c r="N303" s="19" t="str">
        <f t="shared" ca="1" si="305"/>
        <v>empty</v>
      </c>
      <c r="O303" s="19" t="str">
        <f t="shared" ca="1" si="305"/>
        <v>empty</v>
      </c>
      <c r="P303" s="19" t="str">
        <f t="shared" ca="1" si="305"/>
        <v>empty</v>
      </c>
      <c r="Q303" s="15" t="str">
        <f t="shared" ca="1" si="260"/>
        <v>www.looney.com</v>
      </c>
    </row>
    <row r="304" spans="1:17" ht="15.75" customHeight="1" x14ac:dyDescent="0.25">
      <c r="A304" s="19"/>
      <c r="B304" s="19"/>
      <c r="C304" s="19"/>
      <c r="D304" s="19"/>
      <c r="E304" s="19"/>
      <c r="F304" s="19"/>
      <c r="G304" s="19"/>
      <c r="H304" s="18"/>
      <c r="I304" s="18" t="str">
        <f t="shared" ca="1" si="261"/>
        <v/>
      </c>
      <c r="J304" s="19" t="str">
        <f t="shared" ca="1" si="258"/>
        <v/>
      </c>
      <c r="K304" s="19" t="str">
        <f t="shared" ref="K304:P304" ca="1" si="306">IFERROR(__xludf.DUMMYFUNCTION("iferror(lower(regexreplace(substitute(trim(if(B304="""",""empty"",B304)),"" "",""_""),""[^A-Za-z0-9_]"","""")))"),"empty")</f>
        <v>empty</v>
      </c>
      <c r="L304" s="19" t="str">
        <f t="shared" ca="1" si="306"/>
        <v>empty</v>
      </c>
      <c r="M304" s="19" t="str">
        <f t="shared" ca="1" si="306"/>
        <v>empty</v>
      </c>
      <c r="N304" s="19" t="str">
        <f t="shared" ca="1" si="306"/>
        <v>empty</v>
      </c>
      <c r="O304" s="19" t="str">
        <f t="shared" ca="1" si="306"/>
        <v>empty</v>
      </c>
      <c r="P304" s="19" t="str">
        <f t="shared" ca="1" si="306"/>
        <v>empty</v>
      </c>
      <c r="Q304" s="15" t="str">
        <f t="shared" ca="1" si="260"/>
        <v>www.looney.com</v>
      </c>
    </row>
    <row r="305" spans="1:17" ht="15.75" customHeight="1" x14ac:dyDescent="0.25">
      <c r="A305" s="19"/>
      <c r="B305" s="19"/>
      <c r="C305" s="19"/>
      <c r="D305" s="19"/>
      <c r="E305" s="19"/>
      <c r="F305" s="19"/>
      <c r="G305" s="19"/>
      <c r="H305" s="18"/>
      <c r="I305" s="18" t="str">
        <f t="shared" ca="1" si="261"/>
        <v/>
      </c>
      <c r="J305" s="19" t="str">
        <f t="shared" ca="1" si="258"/>
        <v/>
      </c>
      <c r="K305" s="19" t="str">
        <f t="shared" ref="K305:P305" ca="1" si="307">IFERROR(__xludf.DUMMYFUNCTION("iferror(lower(regexreplace(substitute(trim(if(B305="""",""empty"",B305)),"" "",""_""),""[^A-Za-z0-9_]"","""")))"),"empty")</f>
        <v>empty</v>
      </c>
      <c r="L305" s="19" t="str">
        <f t="shared" ca="1" si="307"/>
        <v>empty</v>
      </c>
      <c r="M305" s="19" t="str">
        <f t="shared" ca="1" si="307"/>
        <v>empty</v>
      </c>
      <c r="N305" s="19" t="str">
        <f t="shared" ca="1" si="307"/>
        <v>empty</v>
      </c>
      <c r="O305" s="19" t="str">
        <f t="shared" ca="1" si="307"/>
        <v>empty</v>
      </c>
      <c r="P305" s="19" t="str">
        <f t="shared" ca="1" si="307"/>
        <v>empty</v>
      </c>
      <c r="Q305" s="15" t="str">
        <f t="shared" ca="1" si="260"/>
        <v>www.looney.com</v>
      </c>
    </row>
    <row r="306" spans="1:17" ht="15.75" customHeight="1" x14ac:dyDescent="0.25">
      <c r="A306" s="19"/>
      <c r="B306" s="19"/>
      <c r="C306" s="19"/>
      <c r="D306" s="19"/>
      <c r="E306" s="19"/>
      <c r="F306" s="19"/>
      <c r="G306" s="19"/>
      <c r="H306" s="18"/>
      <c r="I306" s="18" t="str">
        <f t="shared" ca="1" si="261"/>
        <v/>
      </c>
      <c r="J306" s="19" t="str">
        <f t="shared" ca="1" si="258"/>
        <v/>
      </c>
      <c r="K306" s="19" t="str">
        <f t="shared" ref="K306:P306" ca="1" si="308">IFERROR(__xludf.DUMMYFUNCTION("iferror(lower(regexreplace(substitute(trim(if(B306="""",""empty"",B306)),"" "",""_""),""[^A-Za-z0-9_]"","""")))"),"empty")</f>
        <v>empty</v>
      </c>
      <c r="L306" s="19" t="str">
        <f t="shared" ca="1" si="308"/>
        <v>empty</v>
      </c>
      <c r="M306" s="19" t="str">
        <f t="shared" ca="1" si="308"/>
        <v>empty</v>
      </c>
      <c r="N306" s="19" t="str">
        <f t="shared" ca="1" si="308"/>
        <v>empty</v>
      </c>
      <c r="O306" s="19" t="str">
        <f t="shared" ca="1" si="308"/>
        <v>empty</v>
      </c>
      <c r="P306" s="19" t="str">
        <f t="shared" ca="1" si="308"/>
        <v>empty</v>
      </c>
      <c r="Q306" s="15" t="str">
        <f t="shared" ca="1" si="260"/>
        <v>www.looney.com</v>
      </c>
    </row>
    <row r="307" spans="1:17" ht="15.75" customHeight="1" x14ac:dyDescent="0.25">
      <c r="A307" s="19"/>
      <c r="B307" s="19"/>
      <c r="C307" s="19"/>
      <c r="D307" s="19"/>
      <c r="E307" s="19"/>
      <c r="F307" s="19"/>
      <c r="G307" s="19"/>
      <c r="H307" s="18"/>
      <c r="I307" s="18" t="str">
        <f t="shared" ca="1" si="261"/>
        <v/>
      </c>
      <c r="J307" s="19" t="str">
        <f t="shared" ca="1" si="258"/>
        <v/>
      </c>
      <c r="K307" s="19" t="str">
        <f t="shared" ref="K307:P307" ca="1" si="309">IFERROR(__xludf.DUMMYFUNCTION("iferror(lower(regexreplace(substitute(trim(if(B307="""",""empty"",B307)),"" "",""_""),""[^A-Za-z0-9_]"","""")))"),"empty")</f>
        <v>empty</v>
      </c>
      <c r="L307" s="19" t="str">
        <f t="shared" ca="1" si="309"/>
        <v>empty</v>
      </c>
      <c r="M307" s="19" t="str">
        <f t="shared" ca="1" si="309"/>
        <v>empty</v>
      </c>
      <c r="N307" s="19" t="str">
        <f t="shared" ca="1" si="309"/>
        <v>empty</v>
      </c>
      <c r="O307" s="19" t="str">
        <f t="shared" ca="1" si="309"/>
        <v>empty</v>
      </c>
      <c r="P307" s="19" t="str">
        <f t="shared" ca="1" si="309"/>
        <v>empty</v>
      </c>
      <c r="Q307" s="15" t="str">
        <f t="shared" ca="1" si="260"/>
        <v>www.looney.com</v>
      </c>
    </row>
    <row r="308" spans="1:17" ht="15.75" customHeight="1" x14ac:dyDescent="0.25">
      <c r="A308" s="19"/>
      <c r="B308" s="19"/>
      <c r="C308" s="19"/>
      <c r="D308" s="19"/>
      <c r="E308" s="19"/>
      <c r="F308" s="19"/>
      <c r="G308" s="19"/>
      <c r="H308" s="18"/>
      <c r="I308" s="18" t="str">
        <f t="shared" ca="1" si="261"/>
        <v/>
      </c>
      <c r="J308" s="19" t="str">
        <f t="shared" ca="1" si="258"/>
        <v/>
      </c>
      <c r="K308" s="19" t="str">
        <f t="shared" ref="K308:P308" ca="1" si="310">IFERROR(__xludf.DUMMYFUNCTION("iferror(lower(regexreplace(substitute(trim(if(B308="""",""empty"",B308)),"" "",""_""),""[^A-Za-z0-9_]"","""")))"),"empty")</f>
        <v>empty</v>
      </c>
      <c r="L308" s="19" t="str">
        <f t="shared" ca="1" si="310"/>
        <v>empty</v>
      </c>
      <c r="M308" s="19" t="str">
        <f t="shared" ca="1" si="310"/>
        <v>empty</v>
      </c>
      <c r="N308" s="19" t="str">
        <f t="shared" ca="1" si="310"/>
        <v>empty</v>
      </c>
      <c r="O308" s="19" t="str">
        <f t="shared" ca="1" si="310"/>
        <v>empty</v>
      </c>
      <c r="P308" s="19" t="str">
        <f t="shared" ca="1" si="310"/>
        <v>empty</v>
      </c>
      <c r="Q308" s="15" t="str">
        <f t="shared" ca="1" si="260"/>
        <v>www.looney.com</v>
      </c>
    </row>
    <row r="309" spans="1:17" ht="15.75" customHeight="1" x14ac:dyDescent="0.25">
      <c r="A309" s="19"/>
      <c r="B309" s="19"/>
      <c r="C309" s="19"/>
      <c r="D309" s="19"/>
      <c r="E309" s="19"/>
      <c r="F309" s="19"/>
      <c r="G309" s="19"/>
      <c r="H309" s="18"/>
      <c r="I309" s="18" t="str">
        <f t="shared" ca="1" si="261"/>
        <v/>
      </c>
      <c r="J309" s="19" t="str">
        <f t="shared" ca="1" si="258"/>
        <v/>
      </c>
      <c r="K309" s="19" t="str">
        <f t="shared" ref="K309:P309" ca="1" si="311">IFERROR(__xludf.DUMMYFUNCTION("iferror(lower(regexreplace(substitute(trim(if(B309="""",""empty"",B309)),"" "",""_""),""[^A-Za-z0-9_]"","""")))"),"empty")</f>
        <v>empty</v>
      </c>
      <c r="L309" s="19" t="str">
        <f t="shared" ca="1" si="311"/>
        <v>empty</v>
      </c>
      <c r="M309" s="19" t="str">
        <f t="shared" ca="1" si="311"/>
        <v>empty</v>
      </c>
      <c r="N309" s="19" t="str">
        <f t="shared" ca="1" si="311"/>
        <v>empty</v>
      </c>
      <c r="O309" s="19" t="str">
        <f t="shared" ca="1" si="311"/>
        <v>empty</v>
      </c>
      <c r="P309" s="19" t="str">
        <f t="shared" ca="1" si="311"/>
        <v>empty</v>
      </c>
      <c r="Q309" s="15" t="str">
        <f t="shared" ca="1" si="260"/>
        <v>www.looney.com</v>
      </c>
    </row>
    <row r="310" spans="1:17" ht="15.75" customHeight="1" x14ac:dyDescent="0.25">
      <c r="A310" s="19"/>
      <c r="B310" s="19"/>
      <c r="C310" s="19"/>
      <c r="D310" s="19"/>
      <c r="E310" s="19"/>
      <c r="F310" s="19"/>
      <c r="G310" s="19"/>
      <c r="H310" s="18"/>
      <c r="I310" s="18" t="str">
        <f t="shared" ca="1" si="261"/>
        <v/>
      </c>
      <c r="J310" s="19" t="str">
        <f t="shared" ca="1" si="258"/>
        <v/>
      </c>
      <c r="K310" s="19" t="str">
        <f t="shared" ref="K310:P310" ca="1" si="312">IFERROR(__xludf.DUMMYFUNCTION("iferror(lower(regexreplace(substitute(trim(if(B310="""",""empty"",B310)),"" "",""_""),""[^A-Za-z0-9_]"","""")))"),"empty")</f>
        <v>empty</v>
      </c>
      <c r="L310" s="19" t="str">
        <f t="shared" ca="1" si="312"/>
        <v>empty</v>
      </c>
      <c r="M310" s="19" t="str">
        <f t="shared" ca="1" si="312"/>
        <v>empty</v>
      </c>
      <c r="N310" s="19" t="str">
        <f t="shared" ca="1" si="312"/>
        <v>empty</v>
      </c>
      <c r="O310" s="19" t="str">
        <f t="shared" ca="1" si="312"/>
        <v>empty</v>
      </c>
      <c r="P310" s="19" t="str">
        <f t="shared" ca="1" si="312"/>
        <v>empty</v>
      </c>
      <c r="Q310" s="15" t="str">
        <f t="shared" ca="1" si="260"/>
        <v>www.looney.com</v>
      </c>
    </row>
    <row r="311" spans="1:17" ht="15.75" customHeight="1" x14ac:dyDescent="0.25">
      <c r="A311" s="19"/>
      <c r="B311" s="19"/>
      <c r="C311" s="19"/>
      <c r="D311" s="19"/>
      <c r="E311" s="19"/>
      <c r="F311" s="19"/>
      <c r="G311" s="19"/>
      <c r="H311" s="18"/>
      <c r="I311" s="18" t="str">
        <f t="shared" ca="1" si="261"/>
        <v/>
      </c>
      <c r="J311" s="19" t="str">
        <f t="shared" ca="1" si="258"/>
        <v/>
      </c>
      <c r="K311" s="19" t="str">
        <f t="shared" ref="K311:P311" ca="1" si="313">IFERROR(__xludf.DUMMYFUNCTION("iferror(lower(regexreplace(substitute(trim(if(B311="""",""empty"",B311)),"" "",""_""),""[^A-Za-z0-9_]"","""")))"),"empty")</f>
        <v>empty</v>
      </c>
      <c r="L311" s="19" t="str">
        <f t="shared" ca="1" si="313"/>
        <v>empty</v>
      </c>
      <c r="M311" s="19" t="str">
        <f t="shared" ca="1" si="313"/>
        <v>empty</v>
      </c>
      <c r="N311" s="19" t="str">
        <f t="shared" ca="1" si="313"/>
        <v>empty</v>
      </c>
      <c r="O311" s="19" t="str">
        <f t="shared" ca="1" si="313"/>
        <v>empty</v>
      </c>
      <c r="P311" s="19" t="str">
        <f t="shared" ca="1" si="313"/>
        <v>empty</v>
      </c>
      <c r="Q311" s="15" t="str">
        <f t="shared" ca="1" si="260"/>
        <v>www.looney.com</v>
      </c>
    </row>
    <row r="312" spans="1:17" ht="15.75" customHeight="1" x14ac:dyDescent="0.25">
      <c r="A312" s="19"/>
      <c r="B312" s="19"/>
      <c r="C312" s="19"/>
      <c r="D312" s="19"/>
      <c r="E312" s="19"/>
      <c r="F312" s="19"/>
      <c r="G312" s="19"/>
      <c r="H312" s="18"/>
      <c r="I312" s="18" t="str">
        <f t="shared" ca="1" si="261"/>
        <v/>
      </c>
      <c r="J312" s="19" t="str">
        <f t="shared" ca="1" si="258"/>
        <v/>
      </c>
      <c r="K312" s="19" t="str">
        <f t="shared" ref="K312:P312" ca="1" si="314">IFERROR(__xludf.DUMMYFUNCTION("iferror(lower(regexreplace(substitute(trim(if(B312="""",""empty"",B312)),"" "",""_""),""[^A-Za-z0-9_]"","""")))"),"empty")</f>
        <v>empty</v>
      </c>
      <c r="L312" s="19" t="str">
        <f t="shared" ca="1" si="314"/>
        <v>empty</v>
      </c>
      <c r="M312" s="19" t="str">
        <f t="shared" ca="1" si="314"/>
        <v>empty</v>
      </c>
      <c r="N312" s="19" t="str">
        <f t="shared" ca="1" si="314"/>
        <v>empty</v>
      </c>
      <c r="O312" s="19" t="str">
        <f t="shared" ca="1" si="314"/>
        <v>empty</v>
      </c>
      <c r="P312" s="19" t="str">
        <f t="shared" ca="1" si="314"/>
        <v>empty</v>
      </c>
      <c r="Q312" s="15" t="str">
        <f t="shared" ca="1" si="260"/>
        <v>www.looney.com</v>
      </c>
    </row>
    <row r="313" spans="1:17" ht="15.75" customHeight="1" x14ac:dyDescent="0.25">
      <c r="A313" s="19"/>
      <c r="B313" s="19"/>
      <c r="C313" s="19"/>
      <c r="D313" s="19"/>
      <c r="E313" s="19"/>
      <c r="F313" s="19"/>
      <c r="G313" s="19"/>
      <c r="H313" s="18"/>
      <c r="I313" s="18" t="str">
        <f t="shared" ca="1" si="261"/>
        <v/>
      </c>
      <c r="J313" s="19" t="str">
        <f t="shared" ca="1" si="258"/>
        <v/>
      </c>
      <c r="K313" s="19" t="str">
        <f t="shared" ref="K313:P313" ca="1" si="315">IFERROR(__xludf.DUMMYFUNCTION("iferror(lower(regexreplace(substitute(trim(if(B313="""",""empty"",B313)),"" "",""_""),""[^A-Za-z0-9_]"","""")))"),"empty")</f>
        <v>empty</v>
      </c>
      <c r="L313" s="19" t="str">
        <f t="shared" ca="1" si="315"/>
        <v>empty</v>
      </c>
      <c r="M313" s="19" t="str">
        <f t="shared" ca="1" si="315"/>
        <v>empty</v>
      </c>
      <c r="N313" s="19" t="str">
        <f t="shared" ca="1" si="315"/>
        <v>empty</v>
      </c>
      <c r="O313" s="19" t="str">
        <f t="shared" ca="1" si="315"/>
        <v>empty</v>
      </c>
      <c r="P313" s="19" t="str">
        <f t="shared" ca="1" si="315"/>
        <v>empty</v>
      </c>
      <c r="Q313" s="15" t="str">
        <f t="shared" ca="1" si="260"/>
        <v>www.looney.com</v>
      </c>
    </row>
    <row r="314" spans="1:17" ht="15.75" customHeight="1" x14ac:dyDescent="0.25">
      <c r="A314" s="19"/>
      <c r="B314" s="19"/>
      <c r="C314" s="19"/>
      <c r="D314" s="19"/>
      <c r="E314" s="19"/>
      <c r="F314" s="19"/>
      <c r="G314" s="19"/>
      <c r="H314" s="18"/>
      <c r="I314" s="18" t="str">
        <f t="shared" ca="1" si="261"/>
        <v/>
      </c>
      <c r="J314" s="19" t="str">
        <f t="shared" ca="1" si="258"/>
        <v/>
      </c>
      <c r="K314" s="19" t="str">
        <f t="shared" ref="K314:P314" ca="1" si="316">IFERROR(__xludf.DUMMYFUNCTION("iferror(lower(regexreplace(substitute(trim(if(B314="""",""empty"",B314)),"" "",""_""),""[^A-Za-z0-9_]"","""")))"),"empty")</f>
        <v>empty</v>
      </c>
      <c r="L314" s="19" t="str">
        <f t="shared" ca="1" si="316"/>
        <v>empty</v>
      </c>
      <c r="M314" s="19" t="str">
        <f t="shared" ca="1" si="316"/>
        <v>empty</v>
      </c>
      <c r="N314" s="19" t="str">
        <f t="shared" ca="1" si="316"/>
        <v>empty</v>
      </c>
      <c r="O314" s="19" t="str">
        <f t="shared" ca="1" si="316"/>
        <v>empty</v>
      </c>
      <c r="P314" s="19" t="str">
        <f t="shared" ca="1" si="316"/>
        <v>empty</v>
      </c>
      <c r="Q314" s="15" t="str">
        <f t="shared" ca="1" si="260"/>
        <v>www.looney.com</v>
      </c>
    </row>
    <row r="315" spans="1:17" ht="15.75" customHeight="1" x14ac:dyDescent="0.25">
      <c r="A315" s="19"/>
      <c r="B315" s="19"/>
      <c r="C315" s="19"/>
      <c r="D315" s="19"/>
      <c r="E315" s="19"/>
      <c r="F315" s="19"/>
      <c r="G315" s="19"/>
      <c r="H315" s="18"/>
      <c r="I315" s="18" t="str">
        <f t="shared" ca="1" si="261"/>
        <v/>
      </c>
      <c r="J315" s="19" t="str">
        <f t="shared" ca="1" si="258"/>
        <v/>
      </c>
      <c r="K315" s="19" t="str">
        <f t="shared" ref="K315:P315" ca="1" si="317">IFERROR(__xludf.DUMMYFUNCTION("iferror(lower(regexreplace(substitute(trim(if(B315="""",""empty"",B315)),"" "",""_""),""[^A-Za-z0-9_]"","""")))"),"empty")</f>
        <v>empty</v>
      </c>
      <c r="L315" s="19" t="str">
        <f t="shared" ca="1" si="317"/>
        <v>empty</v>
      </c>
      <c r="M315" s="19" t="str">
        <f t="shared" ca="1" si="317"/>
        <v>empty</v>
      </c>
      <c r="N315" s="19" t="str">
        <f t="shared" ca="1" si="317"/>
        <v>empty</v>
      </c>
      <c r="O315" s="19" t="str">
        <f t="shared" ca="1" si="317"/>
        <v>empty</v>
      </c>
      <c r="P315" s="19" t="str">
        <f t="shared" ca="1" si="317"/>
        <v>empty</v>
      </c>
      <c r="Q315" s="15" t="str">
        <f t="shared" ca="1" si="260"/>
        <v>www.looney.com</v>
      </c>
    </row>
    <row r="316" spans="1:17" ht="15.75" customHeight="1" x14ac:dyDescent="0.25">
      <c r="A316" s="19"/>
      <c r="B316" s="19"/>
      <c r="C316" s="19"/>
      <c r="D316" s="19"/>
      <c r="E316" s="19"/>
      <c r="F316" s="19"/>
      <c r="G316" s="19"/>
      <c r="H316" s="18"/>
      <c r="I316" s="18" t="str">
        <f t="shared" ca="1" si="261"/>
        <v/>
      </c>
      <c r="J316" s="19" t="str">
        <f t="shared" ca="1" si="258"/>
        <v/>
      </c>
      <c r="K316" s="19" t="str">
        <f t="shared" ref="K316:P316" ca="1" si="318">IFERROR(__xludf.DUMMYFUNCTION("iferror(lower(regexreplace(substitute(trim(if(B316="""",""empty"",B316)),"" "",""_""),""[^A-Za-z0-9_]"","""")))"),"empty")</f>
        <v>empty</v>
      </c>
      <c r="L316" s="19" t="str">
        <f t="shared" ca="1" si="318"/>
        <v>empty</v>
      </c>
      <c r="M316" s="19" t="str">
        <f t="shared" ca="1" si="318"/>
        <v>empty</v>
      </c>
      <c r="N316" s="19" t="str">
        <f t="shared" ca="1" si="318"/>
        <v>empty</v>
      </c>
      <c r="O316" s="19" t="str">
        <f t="shared" ca="1" si="318"/>
        <v>empty</v>
      </c>
      <c r="P316" s="19" t="str">
        <f t="shared" ca="1" si="318"/>
        <v>empty</v>
      </c>
      <c r="Q316" s="15" t="str">
        <f t="shared" ca="1" si="260"/>
        <v>www.looney.com</v>
      </c>
    </row>
    <row r="317" spans="1:17" ht="15.75" customHeight="1" x14ac:dyDescent="0.25">
      <c r="A317" s="19"/>
      <c r="B317" s="19"/>
      <c r="C317" s="19"/>
      <c r="D317" s="19"/>
      <c r="E317" s="19"/>
      <c r="F317" s="19"/>
      <c r="G317" s="19"/>
      <c r="H317" s="18"/>
      <c r="I317" s="18" t="str">
        <f t="shared" ca="1" si="261"/>
        <v/>
      </c>
      <c r="J317" s="19" t="str">
        <f t="shared" ca="1" si="258"/>
        <v/>
      </c>
      <c r="K317" s="19" t="str">
        <f t="shared" ref="K317:P317" ca="1" si="319">IFERROR(__xludf.DUMMYFUNCTION("iferror(lower(regexreplace(substitute(trim(if(B317="""",""empty"",B317)),"" "",""_""),""[^A-Za-z0-9_]"","""")))"),"empty")</f>
        <v>empty</v>
      </c>
      <c r="L317" s="19" t="str">
        <f t="shared" ca="1" si="319"/>
        <v>empty</v>
      </c>
      <c r="M317" s="19" t="str">
        <f t="shared" ca="1" si="319"/>
        <v>empty</v>
      </c>
      <c r="N317" s="19" t="str">
        <f t="shared" ca="1" si="319"/>
        <v>empty</v>
      </c>
      <c r="O317" s="19" t="str">
        <f t="shared" ca="1" si="319"/>
        <v>empty</v>
      </c>
      <c r="P317" s="19" t="str">
        <f t="shared" ca="1" si="319"/>
        <v>empty</v>
      </c>
      <c r="Q317" s="15" t="str">
        <f t="shared" ca="1" si="260"/>
        <v>www.looney.com</v>
      </c>
    </row>
    <row r="318" spans="1:17" ht="15.75" customHeight="1" x14ac:dyDescent="0.25">
      <c r="A318" s="19"/>
      <c r="B318" s="19"/>
      <c r="C318" s="19"/>
      <c r="D318" s="19"/>
      <c r="E318" s="19"/>
      <c r="F318" s="19"/>
      <c r="G318" s="19"/>
      <c r="H318" s="18"/>
      <c r="I318" s="18" t="str">
        <f t="shared" ca="1" si="261"/>
        <v/>
      </c>
      <c r="J318" s="19" t="str">
        <f t="shared" ca="1" si="258"/>
        <v/>
      </c>
      <c r="K318" s="19" t="str">
        <f t="shared" ref="K318:P318" ca="1" si="320">IFERROR(__xludf.DUMMYFUNCTION("iferror(lower(regexreplace(substitute(trim(if(B318="""",""empty"",B318)),"" "",""_""),""[^A-Za-z0-9_]"","""")))"),"empty")</f>
        <v>empty</v>
      </c>
      <c r="L318" s="19" t="str">
        <f t="shared" ca="1" si="320"/>
        <v>empty</v>
      </c>
      <c r="M318" s="19" t="str">
        <f t="shared" ca="1" si="320"/>
        <v>empty</v>
      </c>
      <c r="N318" s="19" t="str">
        <f t="shared" ca="1" si="320"/>
        <v>empty</v>
      </c>
      <c r="O318" s="19" t="str">
        <f t="shared" ca="1" si="320"/>
        <v>empty</v>
      </c>
      <c r="P318" s="19" t="str">
        <f t="shared" ca="1" si="320"/>
        <v>empty</v>
      </c>
      <c r="Q318" s="15" t="str">
        <f t="shared" ca="1" si="260"/>
        <v>www.looney.com</v>
      </c>
    </row>
    <row r="319" spans="1:17" ht="15.75" customHeight="1" x14ac:dyDescent="0.25">
      <c r="A319" s="19"/>
      <c r="B319" s="19"/>
      <c r="C319" s="19"/>
      <c r="D319" s="19"/>
      <c r="E319" s="19"/>
      <c r="F319" s="19"/>
      <c r="G319" s="19"/>
      <c r="H319" s="18"/>
      <c r="I319" s="18" t="str">
        <f t="shared" ca="1" si="261"/>
        <v/>
      </c>
      <c r="J319" s="19" t="str">
        <f t="shared" ca="1" si="258"/>
        <v/>
      </c>
      <c r="K319" s="19" t="str">
        <f t="shared" ref="K319:P319" ca="1" si="321">IFERROR(__xludf.DUMMYFUNCTION("iferror(lower(regexreplace(substitute(trim(if(B319="""",""empty"",B319)),"" "",""_""),""[^A-Za-z0-9_]"","""")))"),"empty")</f>
        <v>empty</v>
      </c>
      <c r="L319" s="19" t="str">
        <f t="shared" ca="1" si="321"/>
        <v>empty</v>
      </c>
      <c r="M319" s="19" t="str">
        <f t="shared" ca="1" si="321"/>
        <v>empty</v>
      </c>
      <c r="N319" s="19" t="str">
        <f t="shared" ca="1" si="321"/>
        <v>empty</v>
      </c>
      <c r="O319" s="19" t="str">
        <f t="shared" ca="1" si="321"/>
        <v>empty</v>
      </c>
      <c r="P319" s="19" t="str">
        <f t="shared" ca="1" si="321"/>
        <v>empty</v>
      </c>
      <c r="Q319" s="15" t="str">
        <f t="shared" ca="1" si="260"/>
        <v>www.looney.com</v>
      </c>
    </row>
    <row r="320" spans="1:17" ht="15.75" customHeight="1" x14ac:dyDescent="0.25">
      <c r="A320" s="19"/>
      <c r="B320" s="19"/>
      <c r="C320" s="19"/>
      <c r="D320" s="19"/>
      <c r="E320" s="19"/>
      <c r="F320" s="19"/>
      <c r="G320" s="19"/>
      <c r="H320" s="18"/>
      <c r="I320" s="18" t="str">
        <f t="shared" ca="1" si="261"/>
        <v/>
      </c>
      <c r="J320" s="19" t="str">
        <f t="shared" ca="1" si="258"/>
        <v/>
      </c>
      <c r="K320" s="19" t="str">
        <f t="shared" ref="K320:P320" ca="1" si="322">IFERROR(__xludf.DUMMYFUNCTION("iferror(lower(regexreplace(substitute(trim(if(B320="""",""empty"",B320)),"" "",""_""),""[^A-Za-z0-9_]"","""")))"),"empty")</f>
        <v>empty</v>
      </c>
      <c r="L320" s="19" t="str">
        <f t="shared" ca="1" si="322"/>
        <v>empty</v>
      </c>
      <c r="M320" s="19" t="str">
        <f t="shared" ca="1" si="322"/>
        <v>empty</v>
      </c>
      <c r="N320" s="19" t="str">
        <f t="shared" ca="1" si="322"/>
        <v>empty</v>
      </c>
      <c r="O320" s="19" t="str">
        <f t="shared" ca="1" si="322"/>
        <v>empty</v>
      </c>
      <c r="P320" s="19" t="str">
        <f t="shared" ca="1" si="322"/>
        <v>empty</v>
      </c>
      <c r="Q320" s="15" t="str">
        <f t="shared" ca="1" si="260"/>
        <v>www.looney.com</v>
      </c>
    </row>
    <row r="321" spans="1:17" ht="15.75" customHeight="1" x14ac:dyDescent="0.25">
      <c r="A321" s="19"/>
      <c r="B321" s="19"/>
      <c r="C321" s="19"/>
      <c r="D321" s="19"/>
      <c r="E321" s="19"/>
      <c r="F321" s="19"/>
      <c r="G321" s="19"/>
      <c r="H321" s="18"/>
      <c r="I321" s="18" t="str">
        <f t="shared" ca="1" si="261"/>
        <v/>
      </c>
      <c r="J321" s="19" t="str">
        <f t="shared" ca="1" si="258"/>
        <v/>
      </c>
      <c r="K321" s="19" t="str">
        <f t="shared" ref="K321:P321" ca="1" si="323">IFERROR(__xludf.DUMMYFUNCTION("iferror(lower(regexreplace(substitute(trim(if(B321="""",""empty"",B321)),"" "",""_""),""[^A-Za-z0-9_]"","""")))"),"empty")</f>
        <v>empty</v>
      </c>
      <c r="L321" s="19" t="str">
        <f t="shared" ca="1" si="323"/>
        <v>empty</v>
      </c>
      <c r="M321" s="19" t="str">
        <f t="shared" ca="1" si="323"/>
        <v>empty</v>
      </c>
      <c r="N321" s="19" t="str">
        <f t="shared" ca="1" si="323"/>
        <v>empty</v>
      </c>
      <c r="O321" s="19" t="str">
        <f t="shared" ca="1" si="323"/>
        <v>empty</v>
      </c>
      <c r="P321" s="19" t="str">
        <f t="shared" ca="1" si="323"/>
        <v>empty</v>
      </c>
      <c r="Q321" s="15" t="str">
        <f t="shared" ca="1" si="260"/>
        <v>www.looney.com</v>
      </c>
    </row>
    <row r="322" spans="1:17" ht="15.75" customHeight="1" x14ac:dyDescent="0.25">
      <c r="A322" s="19"/>
      <c r="B322" s="19"/>
      <c r="C322" s="19"/>
      <c r="D322" s="19"/>
      <c r="E322" s="19"/>
      <c r="F322" s="19"/>
      <c r="G322" s="19"/>
      <c r="H322" s="18"/>
      <c r="I322" s="18" t="str">
        <f t="shared" ca="1" si="261"/>
        <v/>
      </c>
      <c r="J322" s="19" t="str">
        <f t="shared" ca="1" si="258"/>
        <v/>
      </c>
      <c r="K322" s="19" t="str">
        <f t="shared" ref="K322:P322" ca="1" si="324">IFERROR(__xludf.DUMMYFUNCTION("iferror(lower(regexreplace(substitute(trim(if(B322="""",""empty"",B322)),"" "",""_""),""[^A-Za-z0-9_]"","""")))"),"empty")</f>
        <v>empty</v>
      </c>
      <c r="L322" s="19" t="str">
        <f t="shared" ca="1" si="324"/>
        <v>empty</v>
      </c>
      <c r="M322" s="19" t="str">
        <f t="shared" ca="1" si="324"/>
        <v>empty</v>
      </c>
      <c r="N322" s="19" t="str">
        <f t="shared" ca="1" si="324"/>
        <v>empty</v>
      </c>
      <c r="O322" s="19" t="str">
        <f t="shared" ca="1" si="324"/>
        <v>empty</v>
      </c>
      <c r="P322" s="19" t="str">
        <f t="shared" ca="1" si="324"/>
        <v>empty</v>
      </c>
      <c r="Q322" s="15" t="str">
        <f t="shared" ca="1" si="260"/>
        <v>www.looney.com</v>
      </c>
    </row>
    <row r="323" spans="1:17" ht="15.75" customHeight="1" x14ac:dyDescent="0.25">
      <c r="A323" s="19"/>
      <c r="B323" s="19"/>
      <c r="C323" s="19"/>
      <c r="D323" s="19"/>
      <c r="E323" s="19"/>
      <c r="F323" s="19"/>
      <c r="G323" s="19"/>
      <c r="H323" s="18"/>
      <c r="I323" s="18" t="str">
        <f t="shared" ca="1" si="261"/>
        <v/>
      </c>
      <c r="J323" s="19" t="str">
        <f t="shared" ca="1" si="258"/>
        <v/>
      </c>
      <c r="K323" s="19" t="str">
        <f t="shared" ref="K323:P323" ca="1" si="325">IFERROR(__xludf.DUMMYFUNCTION("iferror(lower(regexreplace(substitute(trim(if(B323="""",""empty"",B323)),"" "",""_""),""[^A-Za-z0-9_]"","""")))"),"empty")</f>
        <v>empty</v>
      </c>
      <c r="L323" s="19" t="str">
        <f t="shared" ca="1" si="325"/>
        <v>empty</v>
      </c>
      <c r="M323" s="19" t="str">
        <f t="shared" ca="1" si="325"/>
        <v>empty</v>
      </c>
      <c r="N323" s="19" t="str">
        <f t="shared" ca="1" si="325"/>
        <v>empty</v>
      </c>
      <c r="O323" s="19" t="str">
        <f t="shared" ca="1" si="325"/>
        <v>empty</v>
      </c>
      <c r="P323" s="19" t="str">
        <f t="shared" ca="1" si="325"/>
        <v>empty</v>
      </c>
      <c r="Q323" s="15" t="str">
        <f t="shared" ca="1" si="260"/>
        <v>www.looney.com</v>
      </c>
    </row>
    <row r="324" spans="1:17" ht="15.75" customHeight="1" x14ac:dyDescent="0.25">
      <c r="A324" s="19"/>
      <c r="B324" s="19"/>
      <c r="C324" s="19"/>
      <c r="D324" s="19"/>
      <c r="E324" s="19"/>
      <c r="F324" s="19"/>
      <c r="G324" s="19"/>
      <c r="H324" s="18"/>
      <c r="I324" s="18" t="str">
        <f t="shared" ca="1" si="261"/>
        <v/>
      </c>
      <c r="J324" s="19" t="str">
        <f t="shared" ca="1" si="258"/>
        <v/>
      </c>
      <c r="K324" s="19" t="str">
        <f t="shared" ref="K324:P324" ca="1" si="326">IFERROR(__xludf.DUMMYFUNCTION("iferror(lower(regexreplace(substitute(trim(if(B324="""",""empty"",B324)),"" "",""_""),""[^A-Za-z0-9_]"","""")))"),"empty")</f>
        <v>empty</v>
      </c>
      <c r="L324" s="19" t="str">
        <f t="shared" ca="1" si="326"/>
        <v>empty</v>
      </c>
      <c r="M324" s="19" t="str">
        <f t="shared" ca="1" si="326"/>
        <v>empty</v>
      </c>
      <c r="N324" s="19" t="str">
        <f t="shared" ca="1" si="326"/>
        <v>empty</v>
      </c>
      <c r="O324" s="19" t="str">
        <f t="shared" ca="1" si="326"/>
        <v>empty</v>
      </c>
      <c r="P324" s="19" t="str">
        <f t="shared" ca="1" si="326"/>
        <v>empty</v>
      </c>
      <c r="Q324" s="15" t="str">
        <f t="shared" ca="1" si="260"/>
        <v>www.looney.com</v>
      </c>
    </row>
    <row r="325" spans="1:17" ht="15.75" customHeight="1" x14ac:dyDescent="0.25">
      <c r="A325" s="19"/>
      <c r="B325" s="19"/>
      <c r="C325" s="19"/>
      <c r="D325" s="19"/>
      <c r="E325" s="19"/>
      <c r="F325" s="19"/>
      <c r="G325" s="19"/>
      <c r="H325" s="18"/>
      <c r="I325" s="18" t="str">
        <f t="shared" ca="1" si="261"/>
        <v/>
      </c>
      <c r="J325" s="19" t="str">
        <f t="shared" ca="1" si="258"/>
        <v/>
      </c>
      <c r="K325" s="19" t="str">
        <f t="shared" ref="K325:P325" ca="1" si="327">IFERROR(__xludf.DUMMYFUNCTION("iferror(lower(regexreplace(substitute(trim(if(B325="""",""empty"",B325)),"" "",""_""),""[^A-Za-z0-9_]"","""")))"),"empty")</f>
        <v>empty</v>
      </c>
      <c r="L325" s="19" t="str">
        <f t="shared" ca="1" si="327"/>
        <v>empty</v>
      </c>
      <c r="M325" s="19" t="str">
        <f t="shared" ca="1" si="327"/>
        <v>empty</v>
      </c>
      <c r="N325" s="19" t="str">
        <f t="shared" ca="1" si="327"/>
        <v>empty</v>
      </c>
      <c r="O325" s="19" t="str">
        <f t="shared" ca="1" si="327"/>
        <v>empty</v>
      </c>
      <c r="P325" s="19" t="str">
        <f t="shared" ca="1" si="327"/>
        <v>empty</v>
      </c>
      <c r="Q325" s="15" t="str">
        <f t="shared" ca="1" si="260"/>
        <v>www.looney.com</v>
      </c>
    </row>
    <row r="326" spans="1:17" ht="15.75" customHeight="1" x14ac:dyDescent="0.25">
      <c r="A326" s="19"/>
      <c r="B326" s="19"/>
      <c r="C326" s="19"/>
      <c r="D326" s="19"/>
      <c r="E326" s="19"/>
      <c r="F326" s="19"/>
      <c r="G326" s="19"/>
      <c r="H326" s="18"/>
      <c r="I326" s="18" t="str">
        <f t="shared" ca="1" si="261"/>
        <v/>
      </c>
      <c r="J326" s="19" t="str">
        <f t="shared" ca="1" si="258"/>
        <v/>
      </c>
      <c r="K326" s="19" t="str">
        <f t="shared" ref="K326:P326" ca="1" si="328">IFERROR(__xludf.DUMMYFUNCTION("iferror(lower(regexreplace(substitute(trim(if(B326="""",""empty"",B326)),"" "",""_""),""[^A-Za-z0-9_]"","""")))"),"empty")</f>
        <v>empty</v>
      </c>
      <c r="L326" s="19" t="str">
        <f t="shared" ca="1" si="328"/>
        <v>empty</v>
      </c>
      <c r="M326" s="19" t="str">
        <f t="shared" ca="1" si="328"/>
        <v>empty</v>
      </c>
      <c r="N326" s="19" t="str">
        <f t="shared" ca="1" si="328"/>
        <v>empty</v>
      </c>
      <c r="O326" s="19" t="str">
        <f t="shared" ca="1" si="328"/>
        <v>empty</v>
      </c>
      <c r="P326" s="19" t="str">
        <f t="shared" ca="1" si="328"/>
        <v>empty</v>
      </c>
      <c r="Q326" s="15" t="str">
        <f t="shared" ca="1" si="260"/>
        <v>www.looney.com</v>
      </c>
    </row>
    <row r="327" spans="1:17" ht="15.75" customHeight="1" x14ac:dyDescent="0.25">
      <c r="A327" s="19"/>
      <c r="B327" s="19"/>
      <c r="C327" s="19"/>
      <c r="D327" s="19"/>
      <c r="E327" s="19"/>
      <c r="F327" s="19"/>
      <c r="G327" s="19"/>
      <c r="H327" s="18"/>
      <c r="I327" s="18" t="str">
        <f t="shared" ca="1" si="261"/>
        <v/>
      </c>
      <c r="J327" s="19" t="str">
        <f t="shared" ca="1" si="258"/>
        <v/>
      </c>
      <c r="K327" s="19" t="str">
        <f t="shared" ref="K327:P327" ca="1" si="329">IFERROR(__xludf.DUMMYFUNCTION("iferror(lower(regexreplace(substitute(trim(if(B327="""",""empty"",B327)),"" "",""_""),""[^A-Za-z0-9_]"","""")))"),"empty")</f>
        <v>empty</v>
      </c>
      <c r="L327" s="19" t="str">
        <f t="shared" ca="1" si="329"/>
        <v>empty</v>
      </c>
      <c r="M327" s="19" t="str">
        <f t="shared" ca="1" si="329"/>
        <v>empty</v>
      </c>
      <c r="N327" s="19" t="str">
        <f t="shared" ca="1" si="329"/>
        <v>empty</v>
      </c>
      <c r="O327" s="19" t="str">
        <f t="shared" ca="1" si="329"/>
        <v>empty</v>
      </c>
      <c r="P327" s="19" t="str">
        <f t="shared" ca="1" si="329"/>
        <v>empty</v>
      </c>
      <c r="Q327" s="15" t="str">
        <f t="shared" ca="1" si="260"/>
        <v>www.looney.com</v>
      </c>
    </row>
    <row r="328" spans="1:17" ht="15.75" customHeight="1" x14ac:dyDescent="0.25">
      <c r="A328" s="19"/>
      <c r="B328" s="19"/>
      <c r="C328" s="19"/>
      <c r="D328" s="19"/>
      <c r="E328" s="19"/>
      <c r="F328" s="19"/>
      <c r="G328" s="19"/>
      <c r="H328" s="18"/>
      <c r="I328" s="18" t="str">
        <f t="shared" ca="1" si="261"/>
        <v/>
      </c>
      <c r="J328" s="19" t="str">
        <f t="shared" ca="1" si="258"/>
        <v/>
      </c>
      <c r="K328" s="19" t="str">
        <f t="shared" ref="K328:P328" ca="1" si="330">IFERROR(__xludf.DUMMYFUNCTION("iferror(lower(regexreplace(substitute(trim(if(B328="""",""empty"",B328)),"" "",""_""),""[^A-Za-z0-9_]"","""")))"),"empty")</f>
        <v>empty</v>
      </c>
      <c r="L328" s="19" t="str">
        <f t="shared" ca="1" si="330"/>
        <v>empty</v>
      </c>
      <c r="M328" s="19" t="str">
        <f t="shared" ca="1" si="330"/>
        <v>empty</v>
      </c>
      <c r="N328" s="19" t="str">
        <f t="shared" ca="1" si="330"/>
        <v>empty</v>
      </c>
      <c r="O328" s="19" t="str">
        <f t="shared" ca="1" si="330"/>
        <v>empty</v>
      </c>
      <c r="P328" s="19" t="str">
        <f t="shared" ca="1" si="330"/>
        <v>empty</v>
      </c>
      <c r="Q328" s="15" t="str">
        <f t="shared" ca="1" si="260"/>
        <v>www.looney.com</v>
      </c>
    </row>
    <row r="329" spans="1:17" ht="15.75" customHeight="1" x14ac:dyDescent="0.25">
      <c r="A329" s="19"/>
      <c r="B329" s="19"/>
      <c r="C329" s="19"/>
      <c r="D329" s="19"/>
      <c r="E329" s="19"/>
      <c r="F329" s="19"/>
      <c r="G329" s="19"/>
      <c r="H329" s="18"/>
      <c r="I329" s="18" t="str">
        <f t="shared" ca="1" si="261"/>
        <v/>
      </c>
      <c r="J329" s="19" t="str">
        <f t="shared" ca="1" si="258"/>
        <v/>
      </c>
      <c r="K329" s="19" t="str">
        <f t="shared" ref="K329:P329" ca="1" si="331">IFERROR(__xludf.DUMMYFUNCTION("iferror(lower(regexreplace(substitute(trim(if(B329="""",""empty"",B329)),"" "",""_""),""[^A-Za-z0-9_]"","""")))"),"empty")</f>
        <v>empty</v>
      </c>
      <c r="L329" s="19" t="str">
        <f t="shared" ca="1" si="331"/>
        <v>empty</v>
      </c>
      <c r="M329" s="19" t="str">
        <f t="shared" ca="1" si="331"/>
        <v>empty</v>
      </c>
      <c r="N329" s="19" t="str">
        <f t="shared" ca="1" si="331"/>
        <v>empty</v>
      </c>
      <c r="O329" s="19" t="str">
        <f t="shared" ca="1" si="331"/>
        <v>empty</v>
      </c>
      <c r="P329" s="19" t="str">
        <f t="shared" ca="1" si="331"/>
        <v>empty</v>
      </c>
      <c r="Q329" s="15" t="str">
        <f t="shared" ca="1" si="260"/>
        <v>www.looney.com</v>
      </c>
    </row>
    <row r="330" spans="1:17" ht="15.75" customHeight="1" x14ac:dyDescent="0.25">
      <c r="A330" s="19"/>
      <c r="B330" s="19"/>
      <c r="C330" s="19"/>
      <c r="D330" s="19"/>
      <c r="E330" s="19"/>
      <c r="F330" s="19"/>
      <c r="G330" s="19"/>
      <c r="H330" s="18"/>
      <c r="I330" s="18" t="str">
        <f t="shared" ca="1" si="261"/>
        <v/>
      </c>
      <c r="J330" s="19" t="str">
        <f t="shared" ca="1" si="258"/>
        <v/>
      </c>
      <c r="K330" s="19" t="str">
        <f t="shared" ref="K330:P330" ca="1" si="332">IFERROR(__xludf.DUMMYFUNCTION("iferror(lower(regexreplace(substitute(trim(if(B330="""",""empty"",B330)),"" "",""_""),""[^A-Za-z0-9_]"","""")))"),"empty")</f>
        <v>empty</v>
      </c>
      <c r="L330" s="19" t="str">
        <f t="shared" ca="1" si="332"/>
        <v>empty</v>
      </c>
      <c r="M330" s="19" t="str">
        <f t="shared" ca="1" si="332"/>
        <v>empty</v>
      </c>
      <c r="N330" s="19" t="str">
        <f t="shared" ca="1" si="332"/>
        <v>empty</v>
      </c>
      <c r="O330" s="19" t="str">
        <f t="shared" ca="1" si="332"/>
        <v>empty</v>
      </c>
      <c r="P330" s="19" t="str">
        <f t="shared" ca="1" si="332"/>
        <v>empty</v>
      </c>
      <c r="Q330" s="15" t="str">
        <f t="shared" ca="1" si="260"/>
        <v>www.looney.com</v>
      </c>
    </row>
    <row r="331" spans="1:17" ht="15.75" customHeight="1" x14ac:dyDescent="0.25">
      <c r="A331" s="19"/>
      <c r="B331" s="19"/>
      <c r="C331" s="19"/>
      <c r="D331" s="19"/>
      <c r="E331" s="19"/>
      <c r="F331" s="19"/>
      <c r="G331" s="19"/>
      <c r="H331" s="18"/>
      <c r="I331" s="18" t="str">
        <f t="shared" ca="1" si="261"/>
        <v/>
      </c>
      <c r="J331" s="19" t="str">
        <f t="shared" ca="1" si="258"/>
        <v/>
      </c>
      <c r="K331" s="19" t="str">
        <f t="shared" ref="K331:P331" ca="1" si="333">IFERROR(__xludf.DUMMYFUNCTION("iferror(lower(regexreplace(substitute(trim(if(B331="""",""empty"",B331)),"" "",""_""),""[^A-Za-z0-9_]"","""")))"),"empty")</f>
        <v>empty</v>
      </c>
      <c r="L331" s="19" t="str">
        <f t="shared" ca="1" si="333"/>
        <v>empty</v>
      </c>
      <c r="M331" s="19" t="str">
        <f t="shared" ca="1" si="333"/>
        <v>empty</v>
      </c>
      <c r="N331" s="19" t="str">
        <f t="shared" ca="1" si="333"/>
        <v>empty</v>
      </c>
      <c r="O331" s="19" t="str">
        <f t="shared" ca="1" si="333"/>
        <v>empty</v>
      </c>
      <c r="P331" s="19" t="str">
        <f t="shared" ca="1" si="333"/>
        <v>empty</v>
      </c>
      <c r="Q331" s="15" t="str">
        <f t="shared" ca="1" si="260"/>
        <v>www.looney.com</v>
      </c>
    </row>
    <row r="332" spans="1:17" ht="15.75" customHeight="1" x14ac:dyDescent="0.25">
      <c r="A332" s="19"/>
      <c r="B332" s="19"/>
      <c r="C332" s="19"/>
      <c r="D332" s="19"/>
      <c r="E332" s="19"/>
      <c r="F332" s="19"/>
      <c r="G332" s="19"/>
      <c r="H332" s="18"/>
      <c r="I332" s="18" t="str">
        <f t="shared" ca="1" si="261"/>
        <v/>
      </c>
      <c r="J332" s="19" t="str">
        <f t="shared" ca="1" si="258"/>
        <v/>
      </c>
      <c r="K332" s="19" t="str">
        <f t="shared" ref="K332:P332" ca="1" si="334">IFERROR(__xludf.DUMMYFUNCTION("iferror(lower(regexreplace(substitute(trim(if(B332="""",""empty"",B332)),"" "",""_""),""[^A-Za-z0-9_]"","""")))"),"empty")</f>
        <v>empty</v>
      </c>
      <c r="L332" s="19" t="str">
        <f t="shared" ca="1" si="334"/>
        <v>empty</v>
      </c>
      <c r="M332" s="19" t="str">
        <f t="shared" ca="1" si="334"/>
        <v>empty</v>
      </c>
      <c r="N332" s="19" t="str">
        <f t="shared" ca="1" si="334"/>
        <v>empty</v>
      </c>
      <c r="O332" s="19" t="str">
        <f t="shared" ca="1" si="334"/>
        <v>empty</v>
      </c>
      <c r="P332" s="19" t="str">
        <f t="shared" ca="1" si="334"/>
        <v>empty</v>
      </c>
      <c r="Q332" s="15" t="str">
        <f t="shared" ca="1" si="260"/>
        <v>www.looney.com</v>
      </c>
    </row>
    <row r="333" spans="1:17" ht="15.75" customHeight="1" x14ac:dyDescent="0.25">
      <c r="A333" s="19"/>
      <c r="B333" s="19"/>
      <c r="C333" s="19"/>
      <c r="D333" s="19"/>
      <c r="E333" s="19"/>
      <c r="F333" s="19"/>
      <c r="G333" s="19"/>
      <c r="H333" s="18"/>
      <c r="I333" s="18" t="str">
        <f t="shared" ca="1" si="261"/>
        <v/>
      </c>
      <c r="J333" s="19" t="str">
        <f t="shared" ca="1" si="258"/>
        <v/>
      </c>
      <c r="K333" s="19" t="str">
        <f t="shared" ref="K333:P333" ca="1" si="335">IFERROR(__xludf.DUMMYFUNCTION("iferror(lower(regexreplace(substitute(trim(if(B333="""",""empty"",B333)),"" "",""_""),""[^A-Za-z0-9_]"","""")))"),"empty")</f>
        <v>empty</v>
      </c>
      <c r="L333" s="19" t="str">
        <f t="shared" ca="1" si="335"/>
        <v>empty</v>
      </c>
      <c r="M333" s="19" t="str">
        <f t="shared" ca="1" si="335"/>
        <v>empty</v>
      </c>
      <c r="N333" s="19" t="str">
        <f t="shared" ca="1" si="335"/>
        <v>empty</v>
      </c>
      <c r="O333" s="19" t="str">
        <f t="shared" ca="1" si="335"/>
        <v>empty</v>
      </c>
      <c r="P333" s="19" t="str">
        <f t="shared" ca="1" si="335"/>
        <v>empty</v>
      </c>
      <c r="Q333" s="15" t="str">
        <f t="shared" ca="1" si="260"/>
        <v>www.looney.com</v>
      </c>
    </row>
    <row r="334" spans="1:17" ht="15.75" customHeight="1" x14ac:dyDescent="0.25">
      <c r="A334" s="19"/>
      <c r="B334" s="19"/>
      <c r="C334" s="19"/>
      <c r="D334" s="19"/>
      <c r="E334" s="19"/>
      <c r="F334" s="19"/>
      <c r="G334" s="19"/>
      <c r="H334" s="18"/>
      <c r="I334" s="18" t="str">
        <f t="shared" ca="1" si="261"/>
        <v/>
      </c>
      <c r="J334" s="19" t="str">
        <f t="shared" ca="1" si="258"/>
        <v/>
      </c>
      <c r="K334" s="19" t="str">
        <f t="shared" ref="K334:P334" ca="1" si="336">IFERROR(__xludf.DUMMYFUNCTION("iferror(lower(regexreplace(substitute(trim(if(B334="""",""empty"",B334)),"" "",""_""),""[^A-Za-z0-9_]"","""")))"),"empty")</f>
        <v>empty</v>
      </c>
      <c r="L334" s="19" t="str">
        <f t="shared" ca="1" si="336"/>
        <v>empty</v>
      </c>
      <c r="M334" s="19" t="str">
        <f t="shared" ca="1" si="336"/>
        <v>empty</v>
      </c>
      <c r="N334" s="19" t="str">
        <f t="shared" ca="1" si="336"/>
        <v>empty</v>
      </c>
      <c r="O334" s="19" t="str">
        <f t="shared" ca="1" si="336"/>
        <v>empty</v>
      </c>
      <c r="P334" s="19" t="str">
        <f t="shared" ca="1" si="336"/>
        <v>empty</v>
      </c>
      <c r="Q334" s="15" t="str">
        <f t="shared" ca="1" si="260"/>
        <v>www.looney.com</v>
      </c>
    </row>
    <row r="335" spans="1:17" ht="15.75" customHeight="1" x14ac:dyDescent="0.25">
      <c r="A335" s="19"/>
      <c r="B335" s="19"/>
      <c r="C335" s="19"/>
      <c r="D335" s="19"/>
      <c r="E335" s="19"/>
      <c r="F335" s="19"/>
      <c r="G335" s="19"/>
      <c r="H335" s="18"/>
      <c r="I335" s="18" t="str">
        <f t="shared" ca="1" si="261"/>
        <v/>
      </c>
      <c r="J335" s="19" t="str">
        <f t="shared" ca="1" si="258"/>
        <v/>
      </c>
      <c r="K335" s="19" t="str">
        <f t="shared" ref="K335:P335" ca="1" si="337">IFERROR(__xludf.DUMMYFUNCTION("iferror(lower(regexreplace(substitute(trim(if(B335="""",""empty"",B335)),"" "",""_""),""[^A-Za-z0-9_]"","""")))"),"empty")</f>
        <v>empty</v>
      </c>
      <c r="L335" s="19" t="str">
        <f t="shared" ca="1" si="337"/>
        <v>empty</v>
      </c>
      <c r="M335" s="19" t="str">
        <f t="shared" ca="1" si="337"/>
        <v>empty</v>
      </c>
      <c r="N335" s="19" t="str">
        <f t="shared" ca="1" si="337"/>
        <v>empty</v>
      </c>
      <c r="O335" s="19" t="str">
        <f t="shared" ca="1" si="337"/>
        <v>empty</v>
      </c>
      <c r="P335" s="19" t="str">
        <f t="shared" ca="1" si="337"/>
        <v>empty</v>
      </c>
      <c r="Q335" s="15" t="str">
        <f t="shared" ca="1" si="260"/>
        <v>www.looney.com</v>
      </c>
    </row>
    <row r="336" spans="1:17" ht="15.75" customHeight="1" x14ac:dyDescent="0.25">
      <c r="A336" s="19"/>
      <c r="B336" s="19"/>
      <c r="C336" s="19"/>
      <c r="D336" s="19"/>
      <c r="E336" s="19"/>
      <c r="F336" s="19"/>
      <c r="G336" s="19"/>
      <c r="H336" s="18"/>
      <c r="I336" s="18" t="str">
        <f t="shared" ca="1" si="261"/>
        <v/>
      </c>
      <c r="J336" s="19" t="str">
        <f t="shared" ca="1" si="258"/>
        <v/>
      </c>
      <c r="K336" s="19" t="str">
        <f t="shared" ref="K336:P336" ca="1" si="338">IFERROR(__xludf.DUMMYFUNCTION("iferror(lower(regexreplace(substitute(trim(if(B336="""",""empty"",B336)),"" "",""_""),""[^A-Za-z0-9_]"","""")))"),"empty")</f>
        <v>empty</v>
      </c>
      <c r="L336" s="19" t="str">
        <f t="shared" ca="1" si="338"/>
        <v>empty</v>
      </c>
      <c r="M336" s="19" t="str">
        <f t="shared" ca="1" si="338"/>
        <v>empty</v>
      </c>
      <c r="N336" s="19" t="str">
        <f t="shared" ca="1" si="338"/>
        <v>empty</v>
      </c>
      <c r="O336" s="19" t="str">
        <f t="shared" ca="1" si="338"/>
        <v>empty</v>
      </c>
      <c r="P336" s="19" t="str">
        <f t="shared" ca="1" si="338"/>
        <v>empty</v>
      </c>
      <c r="Q336" s="15" t="str">
        <f t="shared" ca="1" si="260"/>
        <v>www.looney.com</v>
      </c>
    </row>
    <row r="337" spans="1:17" ht="15.75" customHeight="1" x14ac:dyDescent="0.25">
      <c r="A337" s="19"/>
      <c r="B337" s="19"/>
      <c r="C337" s="19"/>
      <c r="D337" s="19"/>
      <c r="E337" s="19"/>
      <c r="F337" s="19"/>
      <c r="G337" s="19"/>
      <c r="H337" s="18"/>
      <c r="I337" s="18" t="str">
        <f t="shared" ca="1" si="261"/>
        <v/>
      </c>
      <c r="J337" s="19" t="str">
        <f t="shared" ca="1" si="258"/>
        <v/>
      </c>
      <c r="K337" s="19" t="str">
        <f t="shared" ref="K337:P337" ca="1" si="339">IFERROR(__xludf.DUMMYFUNCTION("iferror(lower(regexreplace(substitute(trim(if(B337="""",""empty"",B337)),"" "",""_""),""[^A-Za-z0-9_]"","""")))"),"empty")</f>
        <v>empty</v>
      </c>
      <c r="L337" s="19" t="str">
        <f t="shared" ca="1" si="339"/>
        <v>empty</v>
      </c>
      <c r="M337" s="19" t="str">
        <f t="shared" ca="1" si="339"/>
        <v>empty</v>
      </c>
      <c r="N337" s="19" t="str">
        <f t="shared" ca="1" si="339"/>
        <v>empty</v>
      </c>
      <c r="O337" s="19" t="str">
        <f t="shared" ca="1" si="339"/>
        <v>empty</v>
      </c>
      <c r="P337" s="19" t="str">
        <f t="shared" ca="1" si="339"/>
        <v>empty</v>
      </c>
      <c r="Q337" s="15" t="str">
        <f t="shared" ca="1" si="260"/>
        <v>www.looney.com</v>
      </c>
    </row>
    <row r="338" spans="1:17" ht="15.75" customHeight="1" x14ac:dyDescent="0.25">
      <c r="A338" s="19"/>
      <c r="B338" s="19"/>
      <c r="C338" s="19"/>
      <c r="D338" s="19"/>
      <c r="E338" s="19"/>
      <c r="F338" s="19"/>
      <c r="G338" s="19"/>
      <c r="H338" s="18"/>
      <c r="I338" s="18" t="str">
        <f t="shared" ca="1" si="261"/>
        <v/>
      </c>
      <c r="J338" s="19" t="str">
        <f t="shared" ca="1" si="258"/>
        <v/>
      </c>
      <c r="K338" s="19" t="str">
        <f t="shared" ref="K338:P338" ca="1" si="340">IFERROR(__xludf.DUMMYFUNCTION("iferror(lower(regexreplace(substitute(trim(if(B338="""",""empty"",B338)),"" "",""_""),""[^A-Za-z0-9_]"","""")))"),"empty")</f>
        <v>empty</v>
      </c>
      <c r="L338" s="19" t="str">
        <f t="shared" ca="1" si="340"/>
        <v>empty</v>
      </c>
      <c r="M338" s="19" t="str">
        <f t="shared" ca="1" si="340"/>
        <v>empty</v>
      </c>
      <c r="N338" s="19" t="str">
        <f t="shared" ca="1" si="340"/>
        <v>empty</v>
      </c>
      <c r="O338" s="19" t="str">
        <f t="shared" ca="1" si="340"/>
        <v>empty</v>
      </c>
      <c r="P338" s="19" t="str">
        <f t="shared" ca="1" si="340"/>
        <v>empty</v>
      </c>
      <c r="Q338" s="15" t="str">
        <f t="shared" ca="1" si="260"/>
        <v>www.looney.com</v>
      </c>
    </row>
    <row r="339" spans="1:17" ht="15.75" customHeight="1" x14ac:dyDescent="0.25">
      <c r="A339" s="19"/>
      <c r="B339" s="19"/>
      <c r="C339" s="19"/>
      <c r="D339" s="19"/>
      <c r="E339" s="19"/>
      <c r="F339" s="19"/>
      <c r="G339" s="19"/>
      <c r="H339" s="18"/>
      <c r="I339" s="18" t="str">
        <f t="shared" ca="1" si="261"/>
        <v/>
      </c>
      <c r="J339" s="19" t="str">
        <f t="shared" ca="1" si="258"/>
        <v/>
      </c>
      <c r="K339" s="19" t="str">
        <f t="shared" ref="K339:P339" ca="1" si="341">IFERROR(__xludf.DUMMYFUNCTION("iferror(lower(regexreplace(substitute(trim(if(B339="""",""empty"",B339)),"" "",""_""),""[^A-Za-z0-9_]"","""")))"),"empty")</f>
        <v>empty</v>
      </c>
      <c r="L339" s="19" t="str">
        <f t="shared" ca="1" si="341"/>
        <v>empty</v>
      </c>
      <c r="M339" s="19" t="str">
        <f t="shared" ca="1" si="341"/>
        <v>empty</v>
      </c>
      <c r="N339" s="19" t="str">
        <f t="shared" ca="1" si="341"/>
        <v>empty</v>
      </c>
      <c r="O339" s="19" t="str">
        <f t="shared" ca="1" si="341"/>
        <v>empty</v>
      </c>
      <c r="P339" s="19" t="str">
        <f t="shared" ca="1" si="341"/>
        <v>empty</v>
      </c>
      <c r="Q339" s="15" t="str">
        <f t="shared" ca="1" si="260"/>
        <v>www.looney.com</v>
      </c>
    </row>
    <row r="340" spans="1:17" ht="15.75" customHeight="1" x14ac:dyDescent="0.25">
      <c r="A340" s="19"/>
      <c r="B340" s="19"/>
      <c r="C340" s="19"/>
      <c r="D340" s="19"/>
      <c r="E340" s="19"/>
      <c r="F340" s="19"/>
      <c r="G340" s="19"/>
      <c r="H340" s="18"/>
      <c r="I340" s="18" t="str">
        <f t="shared" ca="1" si="261"/>
        <v/>
      </c>
      <c r="J340" s="19" t="str">
        <f t="shared" ca="1" si="258"/>
        <v/>
      </c>
      <c r="K340" s="19" t="str">
        <f t="shared" ref="K340:P340" ca="1" si="342">IFERROR(__xludf.DUMMYFUNCTION("iferror(lower(regexreplace(substitute(trim(if(B340="""",""empty"",B340)),"" "",""_""),""[^A-Za-z0-9_]"","""")))"),"empty")</f>
        <v>empty</v>
      </c>
      <c r="L340" s="19" t="str">
        <f t="shared" ca="1" si="342"/>
        <v>empty</v>
      </c>
      <c r="M340" s="19" t="str">
        <f t="shared" ca="1" si="342"/>
        <v>empty</v>
      </c>
      <c r="N340" s="19" t="str">
        <f t="shared" ca="1" si="342"/>
        <v>empty</v>
      </c>
      <c r="O340" s="19" t="str">
        <f t="shared" ca="1" si="342"/>
        <v>empty</v>
      </c>
      <c r="P340" s="19" t="str">
        <f t="shared" ca="1" si="342"/>
        <v>empty</v>
      </c>
      <c r="Q340" s="15" t="str">
        <f t="shared" ca="1" si="260"/>
        <v>www.looney.com</v>
      </c>
    </row>
    <row r="341" spans="1:17" ht="15.75" customHeight="1" x14ac:dyDescent="0.25">
      <c r="A341" s="19"/>
      <c r="B341" s="19"/>
      <c r="C341" s="19"/>
      <c r="D341" s="19"/>
      <c r="E341" s="19"/>
      <c r="F341" s="19"/>
      <c r="G341" s="19"/>
      <c r="H341" s="18"/>
      <c r="I341" s="18" t="str">
        <f t="shared" ca="1" si="261"/>
        <v/>
      </c>
      <c r="J341" s="19" t="str">
        <f t="shared" ca="1" si="258"/>
        <v/>
      </c>
      <c r="K341" s="19" t="str">
        <f t="shared" ref="K341:P341" ca="1" si="343">IFERROR(__xludf.DUMMYFUNCTION("iferror(lower(regexreplace(substitute(trim(if(B341="""",""empty"",B341)),"" "",""_""),""[^A-Za-z0-9_]"","""")))"),"empty")</f>
        <v>empty</v>
      </c>
      <c r="L341" s="19" t="str">
        <f t="shared" ca="1" si="343"/>
        <v>empty</v>
      </c>
      <c r="M341" s="19" t="str">
        <f t="shared" ca="1" si="343"/>
        <v>empty</v>
      </c>
      <c r="N341" s="19" t="str">
        <f t="shared" ca="1" si="343"/>
        <v>empty</v>
      </c>
      <c r="O341" s="19" t="str">
        <f t="shared" ca="1" si="343"/>
        <v>empty</v>
      </c>
      <c r="P341" s="19" t="str">
        <f t="shared" ca="1" si="343"/>
        <v>empty</v>
      </c>
      <c r="Q341" s="15" t="str">
        <f t="shared" ca="1" si="260"/>
        <v>www.looney.com</v>
      </c>
    </row>
    <row r="342" spans="1:17" ht="15.75" customHeight="1" x14ac:dyDescent="0.25">
      <c r="A342" s="19"/>
      <c r="B342" s="19"/>
      <c r="C342" s="19"/>
      <c r="D342" s="19"/>
      <c r="E342" s="19"/>
      <c r="F342" s="19"/>
      <c r="G342" s="19"/>
      <c r="H342" s="18"/>
      <c r="I342" s="18" t="str">
        <f t="shared" ca="1" si="261"/>
        <v/>
      </c>
      <c r="J342" s="19" t="str">
        <f t="shared" ca="1" si="258"/>
        <v/>
      </c>
      <c r="K342" s="19" t="str">
        <f t="shared" ref="K342:P342" ca="1" si="344">IFERROR(__xludf.DUMMYFUNCTION("iferror(lower(regexreplace(substitute(trim(if(B342="""",""empty"",B342)),"" "",""_""),""[^A-Za-z0-9_]"","""")))"),"empty")</f>
        <v>empty</v>
      </c>
      <c r="L342" s="19" t="str">
        <f t="shared" ca="1" si="344"/>
        <v>empty</v>
      </c>
      <c r="M342" s="19" t="str">
        <f t="shared" ca="1" si="344"/>
        <v>empty</v>
      </c>
      <c r="N342" s="19" t="str">
        <f t="shared" ca="1" si="344"/>
        <v>empty</v>
      </c>
      <c r="O342" s="19" t="str">
        <f t="shared" ca="1" si="344"/>
        <v>empty</v>
      </c>
      <c r="P342" s="19" t="str">
        <f t="shared" ca="1" si="344"/>
        <v>empty</v>
      </c>
      <c r="Q342" s="15" t="str">
        <f t="shared" ca="1" si="260"/>
        <v>www.looney.com</v>
      </c>
    </row>
    <row r="343" spans="1:17" ht="15.75" customHeight="1" x14ac:dyDescent="0.25">
      <c r="A343" s="19"/>
      <c r="B343" s="19"/>
      <c r="C343" s="19"/>
      <c r="D343" s="19"/>
      <c r="E343" s="19"/>
      <c r="F343" s="19"/>
      <c r="G343" s="19"/>
      <c r="H343" s="18"/>
      <c r="I343" s="18" t="str">
        <f t="shared" ca="1" si="261"/>
        <v/>
      </c>
      <c r="J343" s="19" t="str">
        <f t="shared" ca="1" si="258"/>
        <v/>
      </c>
      <c r="K343" s="19" t="str">
        <f t="shared" ref="K343:P343" ca="1" si="345">IFERROR(__xludf.DUMMYFUNCTION("iferror(lower(regexreplace(substitute(trim(if(B343="""",""empty"",B343)),"" "",""_""),""[^A-Za-z0-9_]"","""")))"),"empty")</f>
        <v>empty</v>
      </c>
      <c r="L343" s="19" t="str">
        <f t="shared" ca="1" si="345"/>
        <v>empty</v>
      </c>
      <c r="M343" s="19" t="str">
        <f t="shared" ca="1" si="345"/>
        <v>empty</v>
      </c>
      <c r="N343" s="19" t="str">
        <f t="shared" ca="1" si="345"/>
        <v>empty</v>
      </c>
      <c r="O343" s="19" t="str">
        <f t="shared" ca="1" si="345"/>
        <v>empty</v>
      </c>
      <c r="P343" s="19" t="str">
        <f t="shared" ca="1" si="345"/>
        <v>empty</v>
      </c>
      <c r="Q343" s="15" t="str">
        <f t="shared" ca="1" si="260"/>
        <v>www.looney.com</v>
      </c>
    </row>
    <row r="344" spans="1:17" ht="15.75" customHeight="1" x14ac:dyDescent="0.25">
      <c r="A344" s="19"/>
      <c r="B344" s="19"/>
      <c r="C344" s="19"/>
      <c r="D344" s="19"/>
      <c r="E344" s="19"/>
      <c r="F344" s="19"/>
      <c r="G344" s="19"/>
      <c r="H344" s="18"/>
      <c r="I344" s="18" t="str">
        <f t="shared" ca="1" si="261"/>
        <v/>
      </c>
      <c r="J344" s="19" t="str">
        <f t="shared" ca="1" si="258"/>
        <v/>
      </c>
      <c r="K344" s="19" t="str">
        <f t="shared" ref="K344:P344" ca="1" si="346">IFERROR(__xludf.DUMMYFUNCTION("iferror(lower(regexreplace(substitute(trim(if(B344="""",""empty"",B344)),"" "",""_""),""[^A-Za-z0-9_]"","""")))"),"empty")</f>
        <v>empty</v>
      </c>
      <c r="L344" s="19" t="str">
        <f t="shared" ca="1" si="346"/>
        <v>empty</v>
      </c>
      <c r="M344" s="19" t="str">
        <f t="shared" ca="1" si="346"/>
        <v>empty</v>
      </c>
      <c r="N344" s="19" t="str">
        <f t="shared" ca="1" si="346"/>
        <v>empty</v>
      </c>
      <c r="O344" s="19" t="str">
        <f t="shared" ca="1" si="346"/>
        <v>empty</v>
      </c>
      <c r="P344" s="19" t="str">
        <f t="shared" ca="1" si="346"/>
        <v>empty</v>
      </c>
      <c r="Q344" s="15" t="str">
        <f t="shared" ca="1" si="260"/>
        <v>www.looney.com</v>
      </c>
    </row>
    <row r="345" spans="1:17" ht="15.75" customHeight="1" x14ac:dyDescent="0.25">
      <c r="A345" s="19"/>
      <c r="B345" s="19"/>
      <c r="C345" s="19"/>
      <c r="D345" s="19"/>
      <c r="E345" s="19"/>
      <c r="F345" s="19"/>
      <c r="G345" s="19"/>
      <c r="H345" s="18"/>
      <c r="I345" s="18" t="str">
        <f t="shared" ca="1" si="261"/>
        <v/>
      </c>
      <c r="J345" s="19" t="str">
        <f t="shared" ca="1" si="258"/>
        <v/>
      </c>
      <c r="K345" s="19" t="str">
        <f t="shared" ref="K345:P345" ca="1" si="347">IFERROR(__xludf.DUMMYFUNCTION("iferror(lower(regexreplace(substitute(trim(if(B345="""",""empty"",B345)),"" "",""_""),""[^A-Za-z0-9_]"","""")))"),"empty")</f>
        <v>empty</v>
      </c>
      <c r="L345" s="19" t="str">
        <f t="shared" ca="1" si="347"/>
        <v>empty</v>
      </c>
      <c r="M345" s="19" t="str">
        <f t="shared" ca="1" si="347"/>
        <v>empty</v>
      </c>
      <c r="N345" s="19" t="str">
        <f t="shared" ca="1" si="347"/>
        <v>empty</v>
      </c>
      <c r="O345" s="19" t="str">
        <f t="shared" ca="1" si="347"/>
        <v>empty</v>
      </c>
      <c r="P345" s="19" t="str">
        <f t="shared" ca="1" si="347"/>
        <v>empty</v>
      </c>
      <c r="Q345" s="15" t="str">
        <f t="shared" ca="1" si="260"/>
        <v>www.looney.com</v>
      </c>
    </row>
    <row r="346" spans="1:17" ht="15.75" customHeight="1" x14ac:dyDescent="0.25">
      <c r="A346" s="19"/>
      <c r="B346" s="19"/>
      <c r="C346" s="19"/>
      <c r="D346" s="19"/>
      <c r="E346" s="19"/>
      <c r="F346" s="19"/>
      <c r="G346" s="19"/>
      <c r="H346" s="18"/>
      <c r="I346" s="18" t="str">
        <f t="shared" ca="1" si="261"/>
        <v/>
      </c>
      <c r="J346" s="19" t="str">
        <f t="shared" ca="1" si="258"/>
        <v/>
      </c>
      <c r="K346" s="19" t="str">
        <f t="shared" ref="K346:P346" ca="1" si="348">IFERROR(__xludf.DUMMYFUNCTION("iferror(lower(regexreplace(substitute(trim(if(B346="""",""empty"",B346)),"" "",""_""),""[^A-Za-z0-9_]"","""")))"),"empty")</f>
        <v>empty</v>
      </c>
      <c r="L346" s="19" t="str">
        <f t="shared" ca="1" si="348"/>
        <v>empty</v>
      </c>
      <c r="M346" s="19" t="str">
        <f t="shared" ca="1" si="348"/>
        <v>empty</v>
      </c>
      <c r="N346" s="19" t="str">
        <f t="shared" ca="1" si="348"/>
        <v>empty</v>
      </c>
      <c r="O346" s="19" t="str">
        <f t="shared" ca="1" si="348"/>
        <v>empty</v>
      </c>
      <c r="P346" s="19" t="str">
        <f t="shared" ca="1" si="348"/>
        <v>empty</v>
      </c>
      <c r="Q346" s="15" t="str">
        <f t="shared" ca="1" si="260"/>
        <v>www.looney.com</v>
      </c>
    </row>
    <row r="347" spans="1:17" ht="15.75" customHeight="1" x14ac:dyDescent="0.25">
      <c r="A347" s="19"/>
      <c r="B347" s="19"/>
      <c r="C347" s="19"/>
      <c r="D347" s="19"/>
      <c r="E347" s="19"/>
      <c r="F347" s="19"/>
      <c r="G347" s="19"/>
      <c r="H347" s="18"/>
      <c r="I347" s="18" t="str">
        <f t="shared" ca="1" si="261"/>
        <v/>
      </c>
      <c r="J347" s="19" t="str">
        <f t="shared" ca="1" si="258"/>
        <v/>
      </c>
      <c r="K347" s="19" t="str">
        <f t="shared" ref="K347:P347" ca="1" si="349">IFERROR(__xludf.DUMMYFUNCTION("iferror(lower(regexreplace(substitute(trim(if(B347="""",""empty"",B347)),"" "",""_""),""[^A-Za-z0-9_]"","""")))"),"empty")</f>
        <v>empty</v>
      </c>
      <c r="L347" s="19" t="str">
        <f t="shared" ca="1" si="349"/>
        <v>empty</v>
      </c>
      <c r="M347" s="19" t="str">
        <f t="shared" ca="1" si="349"/>
        <v>empty</v>
      </c>
      <c r="N347" s="19" t="str">
        <f t="shared" ca="1" si="349"/>
        <v>empty</v>
      </c>
      <c r="O347" s="19" t="str">
        <f t="shared" ca="1" si="349"/>
        <v>empty</v>
      </c>
      <c r="P347" s="19" t="str">
        <f t="shared" ca="1" si="349"/>
        <v>empty</v>
      </c>
      <c r="Q347" s="15" t="str">
        <f t="shared" ca="1" si="260"/>
        <v>www.looney.com</v>
      </c>
    </row>
    <row r="348" spans="1:17" ht="15.75" customHeight="1" x14ac:dyDescent="0.25">
      <c r="A348" s="19"/>
      <c r="B348" s="19"/>
      <c r="C348" s="19"/>
      <c r="D348" s="19"/>
      <c r="E348" s="19"/>
      <c r="F348" s="19"/>
      <c r="G348" s="19"/>
      <c r="H348" s="18"/>
      <c r="I348" s="18" t="str">
        <f t="shared" ca="1" si="261"/>
        <v/>
      </c>
      <c r="J348" s="19" t="str">
        <f t="shared" ca="1" si="258"/>
        <v/>
      </c>
      <c r="K348" s="19" t="str">
        <f t="shared" ref="K348:P348" ca="1" si="350">IFERROR(__xludf.DUMMYFUNCTION("iferror(lower(regexreplace(substitute(trim(if(B348="""",""empty"",B348)),"" "",""_""),""[^A-Za-z0-9_]"","""")))"),"empty")</f>
        <v>empty</v>
      </c>
      <c r="L348" s="19" t="str">
        <f t="shared" ca="1" si="350"/>
        <v>empty</v>
      </c>
      <c r="M348" s="19" t="str">
        <f t="shared" ca="1" si="350"/>
        <v>empty</v>
      </c>
      <c r="N348" s="19" t="str">
        <f t="shared" ca="1" si="350"/>
        <v>empty</v>
      </c>
      <c r="O348" s="19" t="str">
        <f t="shared" ca="1" si="350"/>
        <v>empty</v>
      </c>
      <c r="P348" s="19" t="str">
        <f t="shared" ca="1" si="350"/>
        <v>empty</v>
      </c>
      <c r="Q348" s="15" t="str">
        <f t="shared" ca="1" si="260"/>
        <v>www.looney.com</v>
      </c>
    </row>
    <row r="349" spans="1:17" ht="15.75" customHeight="1" x14ac:dyDescent="0.25">
      <c r="A349" s="19"/>
      <c r="B349" s="19"/>
      <c r="C349" s="19"/>
      <c r="D349" s="19"/>
      <c r="E349" s="19"/>
      <c r="F349" s="19"/>
      <c r="G349" s="19"/>
      <c r="H349" s="18"/>
      <c r="I349" s="18" t="str">
        <f t="shared" ca="1" si="261"/>
        <v/>
      </c>
      <c r="J349" s="19" t="str">
        <f t="shared" ca="1" si="258"/>
        <v/>
      </c>
      <c r="K349" s="19" t="str">
        <f t="shared" ref="K349:P349" ca="1" si="351">IFERROR(__xludf.DUMMYFUNCTION("iferror(lower(regexreplace(substitute(trim(if(B349="""",""empty"",B349)),"" "",""_""),""[^A-Za-z0-9_]"","""")))"),"empty")</f>
        <v>empty</v>
      </c>
      <c r="L349" s="19" t="str">
        <f t="shared" ca="1" si="351"/>
        <v>empty</v>
      </c>
      <c r="M349" s="19" t="str">
        <f t="shared" ca="1" si="351"/>
        <v>empty</v>
      </c>
      <c r="N349" s="19" t="str">
        <f t="shared" ca="1" si="351"/>
        <v>empty</v>
      </c>
      <c r="O349" s="19" t="str">
        <f t="shared" ca="1" si="351"/>
        <v>empty</v>
      </c>
      <c r="P349" s="19" t="str">
        <f t="shared" ca="1" si="351"/>
        <v>empty</v>
      </c>
      <c r="Q349" s="15" t="str">
        <f t="shared" ca="1" si="260"/>
        <v>www.looney.com</v>
      </c>
    </row>
    <row r="350" spans="1:17" ht="15.75" customHeight="1" x14ac:dyDescent="0.25">
      <c r="A350" s="19"/>
      <c r="B350" s="19"/>
      <c r="C350" s="19"/>
      <c r="D350" s="19"/>
      <c r="E350" s="19"/>
      <c r="F350" s="19"/>
      <c r="G350" s="19"/>
      <c r="H350" s="18"/>
      <c r="I350" s="18" t="str">
        <f t="shared" ca="1" si="261"/>
        <v/>
      </c>
      <c r="J350" s="19" t="str">
        <f t="shared" ca="1" si="258"/>
        <v/>
      </c>
      <c r="K350" s="19" t="str">
        <f t="shared" ref="K350:P350" ca="1" si="352">IFERROR(__xludf.DUMMYFUNCTION("iferror(lower(regexreplace(substitute(trim(if(B350="""",""empty"",B350)),"" "",""_""),""[^A-Za-z0-9_]"","""")))"),"empty")</f>
        <v>empty</v>
      </c>
      <c r="L350" s="19" t="str">
        <f t="shared" ca="1" si="352"/>
        <v>empty</v>
      </c>
      <c r="M350" s="19" t="str">
        <f t="shared" ca="1" si="352"/>
        <v>empty</v>
      </c>
      <c r="N350" s="19" t="str">
        <f t="shared" ca="1" si="352"/>
        <v>empty</v>
      </c>
      <c r="O350" s="19" t="str">
        <f t="shared" ca="1" si="352"/>
        <v>empty</v>
      </c>
      <c r="P350" s="19" t="str">
        <f t="shared" ca="1" si="352"/>
        <v>empty</v>
      </c>
      <c r="Q350" s="15" t="str">
        <f t="shared" ca="1" si="260"/>
        <v>www.looney.com</v>
      </c>
    </row>
    <row r="351" spans="1:17" ht="15.75" customHeight="1" x14ac:dyDescent="0.25">
      <c r="A351" s="19"/>
      <c r="B351" s="19"/>
      <c r="C351" s="19"/>
      <c r="D351" s="19"/>
      <c r="E351" s="19"/>
      <c r="F351" s="19"/>
      <c r="G351" s="19"/>
      <c r="H351" s="18"/>
      <c r="I351" s="18" t="str">
        <f t="shared" ca="1" si="261"/>
        <v/>
      </c>
      <c r="J351" s="19" t="str">
        <f t="shared" ca="1" si="258"/>
        <v/>
      </c>
      <c r="K351" s="19" t="str">
        <f t="shared" ref="K351:P351" ca="1" si="353">IFERROR(__xludf.DUMMYFUNCTION("iferror(lower(regexreplace(substitute(trim(if(B351="""",""empty"",B351)),"" "",""_""),""[^A-Za-z0-9_]"","""")))"),"empty")</f>
        <v>empty</v>
      </c>
      <c r="L351" s="19" t="str">
        <f t="shared" ca="1" si="353"/>
        <v>empty</v>
      </c>
      <c r="M351" s="19" t="str">
        <f t="shared" ca="1" si="353"/>
        <v>empty</v>
      </c>
      <c r="N351" s="19" t="str">
        <f t="shared" ca="1" si="353"/>
        <v>empty</v>
      </c>
      <c r="O351" s="19" t="str">
        <f t="shared" ca="1" si="353"/>
        <v>empty</v>
      </c>
      <c r="P351" s="19" t="str">
        <f t="shared" ca="1" si="353"/>
        <v>empty</v>
      </c>
      <c r="Q351" s="15" t="str">
        <f t="shared" ca="1" si="260"/>
        <v>www.looney.com</v>
      </c>
    </row>
    <row r="352" spans="1:17" ht="15.75" customHeight="1" x14ac:dyDescent="0.25">
      <c r="A352" s="19"/>
      <c r="B352" s="19"/>
      <c r="C352" s="19"/>
      <c r="D352" s="19"/>
      <c r="E352" s="19"/>
      <c r="F352" s="19"/>
      <c r="G352" s="19"/>
      <c r="H352" s="18"/>
      <c r="I352" s="18" t="str">
        <f t="shared" ca="1" si="261"/>
        <v/>
      </c>
      <c r="J352" s="19" t="str">
        <f t="shared" ca="1" si="258"/>
        <v/>
      </c>
      <c r="K352" s="19" t="str">
        <f t="shared" ref="K352:P352" ca="1" si="354">IFERROR(__xludf.DUMMYFUNCTION("iferror(lower(regexreplace(substitute(trim(if(B352="""",""empty"",B352)),"" "",""_""),""[^A-Za-z0-9_]"","""")))"),"empty")</f>
        <v>empty</v>
      </c>
      <c r="L352" s="19" t="str">
        <f t="shared" ca="1" si="354"/>
        <v>empty</v>
      </c>
      <c r="M352" s="19" t="str">
        <f t="shared" ca="1" si="354"/>
        <v>empty</v>
      </c>
      <c r="N352" s="19" t="str">
        <f t="shared" ca="1" si="354"/>
        <v>empty</v>
      </c>
      <c r="O352" s="19" t="str">
        <f t="shared" ca="1" si="354"/>
        <v>empty</v>
      </c>
      <c r="P352" s="19" t="str">
        <f t="shared" ca="1" si="354"/>
        <v>empty</v>
      </c>
      <c r="Q352" s="15" t="str">
        <f t="shared" ca="1" si="260"/>
        <v>www.looney.com</v>
      </c>
    </row>
  </sheetData>
  <hyperlinks>
    <hyperlink ref="A4" r:id="rId1" xr:uid="{00000000-0004-0000-0200-000000000000}"/>
  </hyperlinks>
  <pageMargins left="0.7" right="0.7" top="0.75" bottom="0.75" header="0.3" footer="0.3"/>
  <customProperties>
    <customPr name="ORB_SHEETNAME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M1000"/>
  <sheetViews>
    <sheetView workbookViewId="0"/>
  </sheetViews>
  <sheetFormatPr defaultColWidth="14.453125" defaultRowHeight="15.75" customHeight="1" x14ac:dyDescent="0.25"/>
  <cols>
    <col min="1" max="1" width="12" customWidth="1"/>
    <col min="2" max="2" width="34.1796875" customWidth="1"/>
    <col min="3" max="3" width="7.453125" customWidth="1"/>
    <col min="4" max="4" width="16" customWidth="1"/>
    <col min="5" max="5" width="25.1796875" customWidth="1"/>
    <col min="6" max="6" width="22.453125" customWidth="1"/>
    <col min="7" max="7" width="84.1796875" customWidth="1"/>
    <col min="8" max="8" width="31.453125" customWidth="1"/>
    <col min="9" max="9" width="7.453125" hidden="1" customWidth="1"/>
    <col min="10" max="10" width="8.81640625" hidden="1" customWidth="1"/>
    <col min="11" max="11" width="25.1796875" hidden="1" customWidth="1"/>
    <col min="12" max="13" width="22.453125" hidden="1" customWidth="1"/>
  </cols>
  <sheetData>
    <row r="1" spans="1:13" ht="15.5" x14ac:dyDescent="0.35">
      <c r="A1" s="16" t="s">
        <v>532</v>
      </c>
      <c r="B1" s="7" t="s">
        <v>522</v>
      </c>
      <c r="C1" s="7" t="s">
        <v>4</v>
      </c>
      <c r="D1" s="7" t="s">
        <v>533</v>
      </c>
      <c r="E1" s="7" t="s">
        <v>534</v>
      </c>
      <c r="F1" s="7" t="s">
        <v>535</v>
      </c>
      <c r="G1" s="7" t="s">
        <v>536</v>
      </c>
      <c r="H1" s="7" t="s">
        <v>536</v>
      </c>
      <c r="I1" s="7" t="str">
        <f t="shared" ref="I1:M1" si="0">B1</f>
        <v>Web Address</v>
      </c>
      <c r="J1" s="7" t="str">
        <f t="shared" si="0"/>
        <v>Source</v>
      </c>
      <c r="K1" s="7" t="str">
        <f t="shared" si="0"/>
        <v>Platform</v>
      </c>
      <c r="L1" s="7" t="str">
        <f t="shared" si="0"/>
        <v>Campaign/Keyword Group</v>
      </c>
      <c r="M1" s="11" t="str">
        <f t="shared" si="0"/>
        <v>Link/Ad/Keyword Detail</v>
      </c>
    </row>
    <row r="2" spans="1:13" ht="15.5" x14ac:dyDescent="0.35">
      <c r="A2" s="17"/>
      <c r="B2" s="13" t="s">
        <v>537</v>
      </c>
      <c r="C2" s="20" t="s">
        <v>538</v>
      </c>
      <c r="D2" s="20" t="s">
        <v>539</v>
      </c>
      <c r="E2" s="20" t="s">
        <v>540</v>
      </c>
      <c r="F2" s="20" t="s">
        <v>541</v>
      </c>
      <c r="G2" s="13" t="s">
        <v>542</v>
      </c>
      <c r="H2" s="13" t="s">
        <v>543</v>
      </c>
      <c r="I2" s="15" t="str">
        <f t="shared" ref="I2:I256" ca="1" si="1">IFERROR(__xludf.DUMMYFUNCTION("iferror(if(right(lower(regexreplace(substitute(trim(if(B2="""",""empty"",B2)),"" "",""_""),""[^A-Za-z0-9_\.\:\/]"","""")),1)=""/"",left(lower(regexreplace(substitute(trim(if(B2="""",""empty"",B2)),"" "",""_""),""[^A-Za-z0-9_\.\:\/]"","""")),len(lower(rege"&amp;"xreplace(substitute(trim(if(B2="""",""empty"",B2)),"" "",""_""),""[^A-Za-z0-9_\.\:\/]"","""")))-1),lower(regexreplace(substitute(trim(if(B2="""",""empty"",B2)),"" "",""_""),""[^A-Za-z0-9_\.\:\/]"",""""))))"),"http://www.mohawkgroup.com")</f>
        <v>http://www.mohawkgroup.com</v>
      </c>
      <c r="J2" s="19" t="str">
        <f t="shared" ref="J2:M2" ca="1" si="2">IFERROR(__xludf.DUMMYFUNCTION("iferror(lower(regexreplace(substitute(trim(if(C2="""",""empty"",C2)),"" "",""_""),""[^A-Za-z0-9_]"","""")))"),"eml")</f>
        <v>eml</v>
      </c>
      <c r="K2" s="19" t="str">
        <f t="shared" ca="1" si="2"/>
        <v>eml</v>
      </c>
      <c r="L2" s="19" t="str">
        <f t="shared" ca="1" si="2"/>
        <v>eml</v>
      </c>
      <c r="M2" s="19" t="str">
        <f t="shared" ca="1" si="2"/>
        <v>eml</v>
      </c>
    </row>
    <row r="3" spans="1:13" ht="15.5" x14ac:dyDescent="0.35">
      <c r="A3" s="17"/>
      <c r="B3" s="13" t="s">
        <v>537</v>
      </c>
      <c r="C3" s="20" t="s">
        <v>544</v>
      </c>
      <c r="D3" s="20" t="s">
        <v>545</v>
      </c>
      <c r="E3" s="20" t="s">
        <v>546</v>
      </c>
      <c r="F3" s="20" t="s">
        <v>547</v>
      </c>
      <c r="G3" s="13" t="s">
        <v>548</v>
      </c>
      <c r="H3" s="13" t="s">
        <v>549</v>
      </c>
      <c r="I3" s="15" t="str">
        <f t="shared" ca="1" si="1"/>
        <v>http://www.mohawkgroup.com</v>
      </c>
      <c r="J3" s="19" t="str">
        <f t="shared" ref="J3:M3" ca="1" si="3">IFERROR(__xludf.DUMMYFUNCTION("iferror(lower(regexreplace(substitute(trim(if(C3="""",""empty"",C3)),"" "",""_""),""[^A-Za-z0-9_]"","""")))"),"ps")</f>
        <v>ps</v>
      </c>
      <c r="K3" s="19" t="str">
        <f t="shared" ca="1" si="3"/>
        <v>ps</v>
      </c>
      <c r="L3" s="19" t="str">
        <f t="shared" ca="1" si="3"/>
        <v>ps</v>
      </c>
      <c r="M3" s="19" t="str">
        <f t="shared" ca="1" si="3"/>
        <v>ps</v>
      </c>
    </row>
    <row r="4" spans="1:13" ht="15.5" x14ac:dyDescent="0.35">
      <c r="A4" s="17"/>
      <c r="B4" s="13" t="s">
        <v>537</v>
      </c>
      <c r="C4" s="20" t="s">
        <v>550</v>
      </c>
      <c r="D4" s="20" t="s">
        <v>551</v>
      </c>
      <c r="E4" s="20" t="s">
        <v>552</v>
      </c>
      <c r="F4" s="20" t="s">
        <v>553</v>
      </c>
      <c r="G4" s="13" t="s">
        <v>554</v>
      </c>
      <c r="H4" s="13" t="s">
        <v>555</v>
      </c>
      <c r="I4" s="15" t="str">
        <f t="shared" ca="1" si="1"/>
        <v>http://www.mohawkgroup.com</v>
      </c>
      <c r="J4" s="19" t="str">
        <f t="shared" ref="J4:M4" ca="1" si="4">IFERROR(__xludf.DUMMYFUNCTION("iferror(lower(regexreplace(substitute(trim(if(C4="""",""empty"",C4)),"" "",""_""),""[^A-Za-z0-9_]"","""")))"),"aff")</f>
        <v>aff</v>
      </c>
      <c r="K4" s="19" t="str">
        <f t="shared" ca="1" si="4"/>
        <v>aff</v>
      </c>
      <c r="L4" s="19" t="str">
        <f t="shared" ca="1" si="4"/>
        <v>aff</v>
      </c>
      <c r="M4" s="19" t="str">
        <f t="shared" ca="1" si="4"/>
        <v>aff</v>
      </c>
    </row>
    <row r="5" spans="1:13" ht="15.5" x14ac:dyDescent="0.35">
      <c r="A5" s="17"/>
      <c r="B5" s="13" t="s">
        <v>537</v>
      </c>
      <c r="C5" s="20" t="s">
        <v>556</v>
      </c>
      <c r="D5" s="20" t="s">
        <v>557</v>
      </c>
      <c r="E5" s="20" t="s">
        <v>558</v>
      </c>
      <c r="F5" s="20" t="s">
        <v>559</v>
      </c>
      <c r="G5" s="13" t="s">
        <v>560</v>
      </c>
      <c r="H5" s="13" t="s">
        <v>561</v>
      </c>
      <c r="I5" s="15" t="str">
        <f t="shared" ca="1" si="1"/>
        <v>http://www.mohawkgroup.com</v>
      </c>
      <c r="J5" s="19" t="str">
        <f t="shared" ref="J5:M5" ca="1" si="5">IFERROR(__xludf.DUMMYFUNCTION("iferror(lower(regexreplace(substitute(trim(if(C5="""",""empty"",C5)),"" "",""_""),""[^A-Za-z0-9_]"","""")))"),"ola")</f>
        <v>ola</v>
      </c>
      <c r="K5" s="19" t="str">
        <f t="shared" ca="1" si="5"/>
        <v>ola</v>
      </c>
      <c r="L5" s="19" t="str">
        <f t="shared" ca="1" si="5"/>
        <v>ola</v>
      </c>
      <c r="M5" s="19" t="str">
        <f t="shared" ca="1" si="5"/>
        <v>ola</v>
      </c>
    </row>
    <row r="6" spans="1:13" ht="15.5" x14ac:dyDescent="0.35">
      <c r="A6" s="17"/>
      <c r="B6" s="13" t="s">
        <v>562</v>
      </c>
      <c r="C6" s="20" t="s">
        <v>563</v>
      </c>
      <c r="D6" s="20" t="s">
        <v>564</v>
      </c>
      <c r="E6" s="20" t="s">
        <v>565</v>
      </c>
      <c r="F6" s="20" t="s">
        <v>566</v>
      </c>
      <c r="G6" s="13" t="s">
        <v>567</v>
      </c>
      <c r="H6" s="13" t="s">
        <v>568</v>
      </c>
      <c r="I6" s="15" t="str">
        <f t="shared" ca="1" si="1"/>
        <v>http://www.mohawkgroup.com</v>
      </c>
      <c r="J6" s="19" t="str">
        <f t="shared" ref="J6:M6" ca="1" si="6">IFERROR(__xludf.DUMMYFUNCTION("iferror(lower(regexreplace(substitute(trim(if(C6="""",""empty"",C6)),"" "",""_""),""[^A-Za-z0-9_]"","""")))"),"soc")</f>
        <v>soc</v>
      </c>
      <c r="K6" s="19" t="str">
        <f t="shared" ca="1" si="6"/>
        <v>soc</v>
      </c>
      <c r="L6" s="19" t="str">
        <f t="shared" ca="1" si="6"/>
        <v>soc</v>
      </c>
      <c r="M6" s="19" t="str">
        <f t="shared" ca="1" si="6"/>
        <v>soc</v>
      </c>
    </row>
    <row r="7" spans="1:13" ht="15.5" x14ac:dyDescent="0.35">
      <c r="A7" s="17"/>
      <c r="B7" s="19"/>
      <c r="C7" s="19"/>
      <c r="D7" s="19"/>
      <c r="E7" s="19"/>
      <c r="F7" s="19"/>
      <c r="G7" s="13" t="s">
        <v>569</v>
      </c>
      <c r="H7" s="19" t="s">
        <v>569</v>
      </c>
      <c r="I7" s="19" t="str">
        <f t="shared" ca="1" si="1"/>
        <v>http://www.mohawkgroup.com</v>
      </c>
      <c r="J7" s="19" t="str">
        <f t="shared" ref="J7:M7" ca="1" si="7">IFERROR(__xludf.DUMMYFUNCTION("iferror(lower(regexreplace(substitute(trim(if(C7="""",""empty"",C7)),"" "",""_""),""[^A-Za-z0-9_]"","""")))"),"empty")</f>
        <v>empty</v>
      </c>
      <c r="K7" s="19" t="str">
        <f t="shared" ca="1" si="7"/>
        <v>empty</v>
      </c>
      <c r="L7" s="19" t="str">
        <f t="shared" ca="1" si="7"/>
        <v>empty</v>
      </c>
      <c r="M7" s="19" t="str">
        <f t="shared" ca="1" si="7"/>
        <v>empty</v>
      </c>
    </row>
    <row r="8" spans="1:13" ht="15.5" x14ac:dyDescent="0.35">
      <c r="A8" s="17"/>
      <c r="B8" s="19"/>
      <c r="C8" s="19"/>
      <c r="D8" s="19"/>
      <c r="E8" s="19"/>
      <c r="F8" s="19"/>
      <c r="G8" s="13" t="s">
        <v>569</v>
      </c>
      <c r="H8" s="19" t="s">
        <v>569</v>
      </c>
      <c r="I8" s="19" t="str">
        <f t="shared" ca="1" si="1"/>
        <v>http://www.mohawkgroup.com</v>
      </c>
      <c r="J8" s="19" t="str">
        <f t="shared" ref="J8:M8" ca="1" si="8">IFERROR(__xludf.DUMMYFUNCTION("iferror(lower(regexreplace(substitute(trim(if(C8="""",""empty"",C8)),"" "",""_""),""[^A-Za-z0-9_]"","""")))"),"empty")</f>
        <v>empty</v>
      </c>
      <c r="K8" s="19" t="str">
        <f t="shared" ca="1" si="8"/>
        <v>empty</v>
      </c>
      <c r="L8" s="19" t="str">
        <f t="shared" ca="1" si="8"/>
        <v>empty</v>
      </c>
      <c r="M8" s="19" t="str">
        <f t="shared" ca="1" si="8"/>
        <v>empty</v>
      </c>
    </row>
    <row r="9" spans="1:13" ht="15.5" x14ac:dyDescent="0.35">
      <c r="A9" s="17"/>
      <c r="B9" s="19"/>
      <c r="C9" s="19"/>
      <c r="D9" s="19"/>
      <c r="E9" s="19"/>
      <c r="F9" s="19"/>
      <c r="G9" s="13" t="s">
        <v>569</v>
      </c>
      <c r="H9" s="19" t="s">
        <v>569</v>
      </c>
      <c r="I9" s="19" t="str">
        <f t="shared" ca="1" si="1"/>
        <v>http://www.mohawkgroup.com</v>
      </c>
      <c r="J9" s="19" t="str">
        <f t="shared" ref="J9:M9" ca="1" si="9">IFERROR(__xludf.DUMMYFUNCTION("iferror(lower(regexreplace(substitute(trim(if(C9="""",""empty"",C9)),"" "",""_""),""[^A-Za-z0-9_]"","""")))"),"empty")</f>
        <v>empty</v>
      </c>
      <c r="K9" s="19" t="str">
        <f t="shared" ca="1" si="9"/>
        <v>empty</v>
      </c>
      <c r="L9" s="19" t="str">
        <f t="shared" ca="1" si="9"/>
        <v>empty</v>
      </c>
      <c r="M9" s="19" t="str">
        <f t="shared" ca="1" si="9"/>
        <v>empty</v>
      </c>
    </row>
    <row r="10" spans="1:13" ht="15.5" x14ac:dyDescent="0.35">
      <c r="A10" s="17"/>
      <c r="B10" s="19"/>
      <c r="C10" s="19"/>
      <c r="D10" s="19"/>
      <c r="E10" s="19"/>
      <c r="F10" s="19"/>
      <c r="G10" s="13" t="s">
        <v>569</v>
      </c>
      <c r="H10" s="19" t="s">
        <v>569</v>
      </c>
      <c r="I10" s="19" t="str">
        <f t="shared" ca="1" si="1"/>
        <v>http://www.mohawkgroup.com</v>
      </c>
      <c r="J10" s="19" t="str">
        <f t="shared" ref="J10:M10" ca="1" si="10">IFERROR(__xludf.DUMMYFUNCTION("iferror(lower(regexreplace(substitute(trim(if(C10="""",""empty"",C10)),"" "",""_""),""[^A-Za-z0-9_]"","""")))"),"empty")</f>
        <v>empty</v>
      </c>
      <c r="K10" s="19" t="str">
        <f t="shared" ca="1" si="10"/>
        <v>empty</v>
      </c>
      <c r="L10" s="19" t="str">
        <f t="shared" ca="1" si="10"/>
        <v>empty</v>
      </c>
      <c r="M10" s="19" t="str">
        <f t="shared" ca="1" si="10"/>
        <v>empty</v>
      </c>
    </row>
    <row r="11" spans="1:13" ht="15.5" x14ac:dyDescent="0.35">
      <c r="A11" s="17"/>
      <c r="B11" s="19"/>
      <c r="C11" s="19"/>
      <c r="D11" s="19"/>
      <c r="E11" s="19"/>
      <c r="F11" s="19"/>
      <c r="G11" s="13" t="s">
        <v>569</v>
      </c>
      <c r="H11" s="19" t="s">
        <v>569</v>
      </c>
      <c r="I11" s="19" t="str">
        <f t="shared" ca="1" si="1"/>
        <v>http://www.mohawkgroup.com</v>
      </c>
      <c r="J11" s="19" t="str">
        <f t="shared" ref="J11:M11" ca="1" si="11">IFERROR(__xludf.DUMMYFUNCTION("iferror(lower(regexreplace(substitute(trim(if(C11="""",""empty"",C11)),"" "",""_""),""[^A-Za-z0-9_]"","""")))"),"empty")</f>
        <v>empty</v>
      </c>
      <c r="K11" s="19" t="str">
        <f t="shared" ca="1" si="11"/>
        <v>empty</v>
      </c>
      <c r="L11" s="19" t="str">
        <f t="shared" ca="1" si="11"/>
        <v>empty</v>
      </c>
      <c r="M11" s="19" t="str">
        <f t="shared" ca="1" si="11"/>
        <v>empty</v>
      </c>
    </row>
    <row r="12" spans="1:13" ht="15.5" x14ac:dyDescent="0.35">
      <c r="A12" s="17"/>
      <c r="B12" s="19"/>
      <c r="C12" s="19"/>
      <c r="D12" s="19"/>
      <c r="E12" s="19"/>
      <c r="F12" s="19"/>
      <c r="G12" s="13" t="s">
        <v>569</v>
      </c>
      <c r="H12" s="19" t="s">
        <v>569</v>
      </c>
      <c r="I12" s="19" t="str">
        <f t="shared" ca="1" si="1"/>
        <v>http://www.mohawkgroup.com</v>
      </c>
      <c r="J12" s="19" t="str">
        <f t="shared" ref="J12:M12" ca="1" si="12">IFERROR(__xludf.DUMMYFUNCTION("iferror(lower(regexreplace(substitute(trim(if(C12="""",""empty"",C12)),"" "",""_""),""[^A-Za-z0-9_]"","""")))"),"empty")</f>
        <v>empty</v>
      </c>
      <c r="K12" s="19" t="str">
        <f t="shared" ca="1" si="12"/>
        <v>empty</v>
      </c>
      <c r="L12" s="19" t="str">
        <f t="shared" ca="1" si="12"/>
        <v>empty</v>
      </c>
      <c r="M12" s="19" t="str">
        <f t="shared" ca="1" si="12"/>
        <v>empty</v>
      </c>
    </row>
    <row r="13" spans="1:13" ht="15.5" x14ac:dyDescent="0.35">
      <c r="A13" s="17"/>
      <c r="B13" s="19"/>
      <c r="C13" s="19"/>
      <c r="D13" s="19"/>
      <c r="E13" s="19"/>
      <c r="F13" s="19"/>
      <c r="G13" s="13" t="s">
        <v>569</v>
      </c>
      <c r="H13" s="19" t="s">
        <v>569</v>
      </c>
      <c r="I13" s="19" t="str">
        <f t="shared" ca="1" si="1"/>
        <v>http://www.mohawkgroup.com</v>
      </c>
      <c r="J13" s="19" t="str">
        <f t="shared" ref="J13:M13" ca="1" si="13">IFERROR(__xludf.DUMMYFUNCTION("iferror(lower(regexreplace(substitute(trim(if(C13="""",""empty"",C13)),"" "",""_""),""[^A-Za-z0-9_]"","""")))"),"empty")</f>
        <v>empty</v>
      </c>
      <c r="K13" s="19" t="str">
        <f t="shared" ca="1" si="13"/>
        <v>empty</v>
      </c>
      <c r="L13" s="19" t="str">
        <f t="shared" ca="1" si="13"/>
        <v>empty</v>
      </c>
      <c r="M13" s="19" t="str">
        <f t="shared" ca="1" si="13"/>
        <v>empty</v>
      </c>
    </row>
    <row r="14" spans="1:13" ht="15.5" x14ac:dyDescent="0.35">
      <c r="A14" s="17"/>
      <c r="B14" s="19"/>
      <c r="C14" s="19"/>
      <c r="D14" s="19"/>
      <c r="E14" s="19"/>
      <c r="F14" s="19"/>
      <c r="G14" s="13" t="s">
        <v>569</v>
      </c>
      <c r="H14" s="19" t="s">
        <v>569</v>
      </c>
      <c r="I14" s="19" t="str">
        <f t="shared" ca="1" si="1"/>
        <v>http://www.mohawkgroup.com</v>
      </c>
      <c r="J14" s="19" t="str">
        <f t="shared" ref="J14:M14" ca="1" si="14">IFERROR(__xludf.DUMMYFUNCTION("iferror(lower(regexreplace(substitute(trim(if(C14="""",""empty"",C14)),"" "",""_""),""[^A-Za-z0-9_]"","""")))"),"empty")</f>
        <v>empty</v>
      </c>
      <c r="K14" s="19" t="str">
        <f t="shared" ca="1" si="14"/>
        <v>empty</v>
      </c>
      <c r="L14" s="19" t="str">
        <f t="shared" ca="1" si="14"/>
        <v>empty</v>
      </c>
      <c r="M14" s="19" t="str">
        <f t="shared" ca="1" si="14"/>
        <v>empty</v>
      </c>
    </row>
    <row r="15" spans="1:13" ht="15.5" x14ac:dyDescent="0.35">
      <c r="A15" s="17"/>
      <c r="B15" s="19"/>
      <c r="C15" s="19"/>
      <c r="D15" s="19"/>
      <c r="E15" s="19"/>
      <c r="F15" s="19"/>
      <c r="G15" s="13" t="s">
        <v>569</v>
      </c>
      <c r="H15" s="19" t="s">
        <v>569</v>
      </c>
      <c r="I15" s="19" t="str">
        <f t="shared" ca="1" si="1"/>
        <v>http://www.mohawkgroup.com</v>
      </c>
      <c r="J15" s="19" t="str">
        <f t="shared" ref="J15:M15" ca="1" si="15">IFERROR(__xludf.DUMMYFUNCTION("iferror(lower(regexreplace(substitute(trim(if(C15="""",""empty"",C15)),"" "",""_""),""[^A-Za-z0-9_]"","""")))"),"empty")</f>
        <v>empty</v>
      </c>
      <c r="K15" s="19" t="str">
        <f t="shared" ca="1" si="15"/>
        <v>empty</v>
      </c>
      <c r="L15" s="19" t="str">
        <f t="shared" ca="1" si="15"/>
        <v>empty</v>
      </c>
      <c r="M15" s="19" t="str">
        <f t="shared" ca="1" si="15"/>
        <v>empty</v>
      </c>
    </row>
    <row r="16" spans="1:13" ht="15.5" x14ac:dyDescent="0.35">
      <c r="A16" s="17"/>
      <c r="B16" s="19"/>
      <c r="C16" s="19"/>
      <c r="D16" s="19"/>
      <c r="E16" s="19"/>
      <c r="F16" s="19"/>
      <c r="G16" s="13" t="s">
        <v>569</v>
      </c>
      <c r="H16" s="19" t="s">
        <v>569</v>
      </c>
      <c r="I16" s="19" t="str">
        <f t="shared" ca="1" si="1"/>
        <v>http://www.mohawkgroup.com</v>
      </c>
      <c r="J16" s="19" t="str">
        <f t="shared" ref="J16:M16" ca="1" si="16">IFERROR(__xludf.DUMMYFUNCTION("iferror(lower(regexreplace(substitute(trim(if(C16="""",""empty"",C16)),"" "",""_""),""[^A-Za-z0-9_]"","""")))"),"empty")</f>
        <v>empty</v>
      </c>
      <c r="K16" s="19" t="str">
        <f t="shared" ca="1" si="16"/>
        <v>empty</v>
      </c>
      <c r="L16" s="19" t="str">
        <f t="shared" ca="1" si="16"/>
        <v>empty</v>
      </c>
      <c r="M16" s="19" t="str">
        <f t="shared" ca="1" si="16"/>
        <v>empty</v>
      </c>
    </row>
    <row r="17" spans="1:13" ht="15.5" x14ac:dyDescent="0.35">
      <c r="A17" s="17"/>
      <c r="B17" s="19"/>
      <c r="C17" s="19"/>
      <c r="D17" s="19"/>
      <c r="E17" s="19"/>
      <c r="F17" s="19"/>
      <c r="G17" s="13" t="s">
        <v>569</v>
      </c>
      <c r="H17" s="19" t="s">
        <v>569</v>
      </c>
      <c r="I17" s="19" t="str">
        <f t="shared" ca="1" si="1"/>
        <v>http://www.mohawkgroup.com</v>
      </c>
      <c r="J17" s="19" t="str">
        <f t="shared" ref="J17:M17" ca="1" si="17">IFERROR(__xludf.DUMMYFUNCTION("iferror(lower(regexreplace(substitute(trim(if(C17="""",""empty"",C17)),"" "",""_""),""[^A-Za-z0-9_]"","""")))"),"empty")</f>
        <v>empty</v>
      </c>
      <c r="K17" s="19" t="str">
        <f t="shared" ca="1" si="17"/>
        <v>empty</v>
      </c>
      <c r="L17" s="19" t="str">
        <f t="shared" ca="1" si="17"/>
        <v>empty</v>
      </c>
      <c r="M17" s="19" t="str">
        <f t="shared" ca="1" si="17"/>
        <v>empty</v>
      </c>
    </row>
    <row r="18" spans="1:13" ht="15.5" x14ac:dyDescent="0.35">
      <c r="A18" s="17"/>
      <c r="B18" s="19"/>
      <c r="C18" s="19"/>
      <c r="D18" s="19"/>
      <c r="E18" s="19"/>
      <c r="F18" s="19"/>
      <c r="G18" s="13" t="s">
        <v>569</v>
      </c>
      <c r="H18" s="19" t="s">
        <v>569</v>
      </c>
      <c r="I18" s="19" t="str">
        <f t="shared" ca="1" si="1"/>
        <v>http://www.mohawkgroup.com</v>
      </c>
      <c r="J18" s="19" t="str">
        <f t="shared" ref="J18:M18" ca="1" si="18">IFERROR(__xludf.DUMMYFUNCTION("iferror(lower(regexreplace(substitute(trim(if(C18="""",""empty"",C18)),"" "",""_""),""[^A-Za-z0-9_]"","""")))"),"empty")</f>
        <v>empty</v>
      </c>
      <c r="K18" s="19" t="str">
        <f t="shared" ca="1" si="18"/>
        <v>empty</v>
      </c>
      <c r="L18" s="19" t="str">
        <f t="shared" ca="1" si="18"/>
        <v>empty</v>
      </c>
      <c r="M18" s="19" t="str">
        <f t="shared" ca="1" si="18"/>
        <v>empty</v>
      </c>
    </row>
    <row r="19" spans="1:13" ht="15.5" x14ac:dyDescent="0.35">
      <c r="A19" s="17"/>
      <c r="B19" s="19"/>
      <c r="C19" s="19"/>
      <c r="D19" s="19"/>
      <c r="E19" s="19"/>
      <c r="F19" s="19"/>
      <c r="G19" s="13" t="s">
        <v>569</v>
      </c>
      <c r="H19" s="19" t="s">
        <v>569</v>
      </c>
      <c r="I19" s="19" t="str">
        <f t="shared" ca="1" si="1"/>
        <v>http://www.mohawkgroup.com</v>
      </c>
      <c r="J19" s="19" t="str">
        <f t="shared" ref="J19:M19" ca="1" si="19">IFERROR(__xludf.DUMMYFUNCTION("iferror(lower(regexreplace(substitute(trim(if(C19="""",""empty"",C19)),"" "",""_""),""[^A-Za-z0-9_]"","""")))"),"empty")</f>
        <v>empty</v>
      </c>
      <c r="K19" s="19" t="str">
        <f t="shared" ca="1" si="19"/>
        <v>empty</v>
      </c>
      <c r="L19" s="19" t="str">
        <f t="shared" ca="1" si="19"/>
        <v>empty</v>
      </c>
      <c r="M19" s="19" t="str">
        <f t="shared" ca="1" si="19"/>
        <v>empty</v>
      </c>
    </row>
    <row r="20" spans="1:13" ht="15.5" x14ac:dyDescent="0.35">
      <c r="A20" s="17"/>
      <c r="B20" s="19"/>
      <c r="C20" s="19"/>
      <c r="D20" s="19"/>
      <c r="E20" s="19"/>
      <c r="F20" s="19"/>
      <c r="G20" s="13" t="s">
        <v>569</v>
      </c>
      <c r="H20" s="19" t="s">
        <v>569</v>
      </c>
      <c r="I20" s="19" t="str">
        <f t="shared" ca="1" si="1"/>
        <v>http://www.mohawkgroup.com</v>
      </c>
      <c r="J20" s="19" t="str">
        <f t="shared" ref="J20:M20" ca="1" si="20">IFERROR(__xludf.DUMMYFUNCTION("iferror(lower(regexreplace(substitute(trim(if(C20="""",""empty"",C20)),"" "",""_""),""[^A-Za-z0-9_]"","""")))"),"empty")</f>
        <v>empty</v>
      </c>
      <c r="K20" s="19" t="str">
        <f t="shared" ca="1" si="20"/>
        <v>empty</v>
      </c>
      <c r="L20" s="19" t="str">
        <f t="shared" ca="1" si="20"/>
        <v>empty</v>
      </c>
      <c r="M20" s="19" t="str">
        <f t="shared" ca="1" si="20"/>
        <v>empty</v>
      </c>
    </row>
    <row r="21" spans="1:13" ht="15.5" x14ac:dyDescent="0.35">
      <c r="A21" s="17"/>
      <c r="B21" s="19"/>
      <c r="C21" s="19"/>
      <c r="D21" s="19"/>
      <c r="E21" s="19"/>
      <c r="F21" s="19"/>
      <c r="G21" s="13" t="s">
        <v>569</v>
      </c>
      <c r="H21" s="19" t="s">
        <v>569</v>
      </c>
      <c r="I21" s="19" t="str">
        <f t="shared" ca="1" si="1"/>
        <v>http://www.mohawkgroup.com</v>
      </c>
      <c r="J21" s="19" t="str">
        <f t="shared" ref="J21:M21" ca="1" si="21">IFERROR(__xludf.DUMMYFUNCTION("iferror(lower(regexreplace(substitute(trim(if(C21="""",""empty"",C21)),"" "",""_""),""[^A-Za-z0-9_]"","""")))"),"empty")</f>
        <v>empty</v>
      </c>
      <c r="K21" s="19" t="str">
        <f t="shared" ca="1" si="21"/>
        <v>empty</v>
      </c>
      <c r="L21" s="19" t="str">
        <f t="shared" ca="1" si="21"/>
        <v>empty</v>
      </c>
      <c r="M21" s="19" t="str">
        <f t="shared" ca="1" si="21"/>
        <v>empty</v>
      </c>
    </row>
    <row r="22" spans="1:13" ht="15.5" x14ac:dyDescent="0.35">
      <c r="A22" s="17"/>
      <c r="B22" s="19"/>
      <c r="C22" s="19"/>
      <c r="D22" s="19"/>
      <c r="E22" s="19"/>
      <c r="F22" s="19"/>
      <c r="G22" s="13" t="s">
        <v>569</v>
      </c>
      <c r="H22" s="19" t="s">
        <v>569</v>
      </c>
      <c r="I22" s="19" t="str">
        <f t="shared" ca="1" si="1"/>
        <v>http://www.mohawkgroup.com</v>
      </c>
      <c r="J22" s="19" t="str">
        <f t="shared" ref="J22:M22" ca="1" si="22">IFERROR(__xludf.DUMMYFUNCTION("iferror(lower(regexreplace(substitute(trim(if(C22="""",""empty"",C22)),"" "",""_""),""[^A-Za-z0-9_]"","""")))"),"empty")</f>
        <v>empty</v>
      </c>
      <c r="K22" s="19" t="str">
        <f t="shared" ca="1" si="22"/>
        <v>empty</v>
      </c>
      <c r="L22" s="19" t="str">
        <f t="shared" ca="1" si="22"/>
        <v>empty</v>
      </c>
      <c r="M22" s="19" t="str">
        <f t="shared" ca="1" si="22"/>
        <v>empty</v>
      </c>
    </row>
    <row r="23" spans="1:13" ht="15.5" x14ac:dyDescent="0.35">
      <c r="A23" s="17"/>
      <c r="B23" s="19"/>
      <c r="C23" s="19"/>
      <c r="D23" s="19"/>
      <c r="E23" s="19"/>
      <c r="F23" s="19"/>
      <c r="G23" s="13" t="s">
        <v>569</v>
      </c>
      <c r="H23" s="19" t="s">
        <v>569</v>
      </c>
      <c r="I23" s="19" t="str">
        <f t="shared" ca="1" si="1"/>
        <v>http://www.mohawkgroup.com</v>
      </c>
      <c r="J23" s="19" t="str">
        <f t="shared" ref="J23:M23" ca="1" si="23">IFERROR(__xludf.DUMMYFUNCTION("iferror(lower(regexreplace(substitute(trim(if(C23="""",""empty"",C23)),"" "",""_""),""[^A-Za-z0-9_]"","""")))"),"empty")</f>
        <v>empty</v>
      </c>
      <c r="K23" s="19" t="str">
        <f t="shared" ca="1" si="23"/>
        <v>empty</v>
      </c>
      <c r="L23" s="19" t="str">
        <f t="shared" ca="1" si="23"/>
        <v>empty</v>
      </c>
      <c r="M23" s="19" t="str">
        <f t="shared" ca="1" si="23"/>
        <v>empty</v>
      </c>
    </row>
    <row r="24" spans="1:13" ht="15.5" x14ac:dyDescent="0.35">
      <c r="A24" s="17"/>
      <c r="B24" s="19"/>
      <c r="C24" s="19"/>
      <c r="D24" s="19"/>
      <c r="E24" s="19"/>
      <c r="F24" s="19"/>
      <c r="G24" s="13" t="s">
        <v>569</v>
      </c>
      <c r="H24" s="19" t="s">
        <v>569</v>
      </c>
      <c r="I24" s="19" t="str">
        <f t="shared" ca="1" si="1"/>
        <v>http://www.mohawkgroup.com</v>
      </c>
      <c r="J24" s="19" t="str">
        <f t="shared" ref="J24:M24" ca="1" si="24">IFERROR(__xludf.DUMMYFUNCTION("iferror(lower(regexreplace(substitute(trim(if(C24="""",""empty"",C24)),"" "",""_""),""[^A-Za-z0-9_]"","""")))"),"empty")</f>
        <v>empty</v>
      </c>
      <c r="K24" s="19" t="str">
        <f t="shared" ca="1" si="24"/>
        <v>empty</v>
      </c>
      <c r="L24" s="19" t="str">
        <f t="shared" ca="1" si="24"/>
        <v>empty</v>
      </c>
      <c r="M24" s="19" t="str">
        <f t="shared" ca="1" si="24"/>
        <v>empty</v>
      </c>
    </row>
    <row r="25" spans="1:13" ht="15.5" x14ac:dyDescent="0.35">
      <c r="A25" s="17"/>
      <c r="B25" s="19"/>
      <c r="C25" s="19"/>
      <c r="D25" s="19"/>
      <c r="E25" s="19"/>
      <c r="F25" s="19"/>
      <c r="G25" s="13" t="s">
        <v>569</v>
      </c>
      <c r="H25" s="19" t="s">
        <v>569</v>
      </c>
      <c r="I25" s="19" t="str">
        <f t="shared" ca="1" si="1"/>
        <v>http://www.mohawkgroup.com</v>
      </c>
      <c r="J25" s="19" t="str">
        <f t="shared" ref="J25:M25" ca="1" si="25">IFERROR(__xludf.DUMMYFUNCTION("iferror(lower(regexreplace(substitute(trim(if(C25="""",""empty"",C25)),"" "",""_""),""[^A-Za-z0-9_]"","""")))"),"empty")</f>
        <v>empty</v>
      </c>
      <c r="K25" s="19" t="str">
        <f t="shared" ca="1" si="25"/>
        <v>empty</v>
      </c>
      <c r="L25" s="19" t="str">
        <f t="shared" ca="1" si="25"/>
        <v>empty</v>
      </c>
      <c r="M25" s="19" t="str">
        <f t="shared" ca="1" si="25"/>
        <v>empty</v>
      </c>
    </row>
    <row r="26" spans="1:13" ht="15.5" x14ac:dyDescent="0.35">
      <c r="A26" s="17"/>
      <c r="B26" s="19"/>
      <c r="C26" s="19"/>
      <c r="D26" s="19"/>
      <c r="E26" s="19"/>
      <c r="F26" s="19"/>
      <c r="G26" s="13" t="s">
        <v>569</v>
      </c>
      <c r="H26" s="19" t="s">
        <v>569</v>
      </c>
      <c r="I26" s="19" t="str">
        <f t="shared" ca="1" si="1"/>
        <v>http://www.mohawkgroup.com</v>
      </c>
      <c r="J26" s="19" t="str">
        <f t="shared" ref="J26:M26" ca="1" si="26">IFERROR(__xludf.DUMMYFUNCTION("iferror(lower(regexreplace(substitute(trim(if(C26="""",""empty"",C26)),"" "",""_""),""[^A-Za-z0-9_]"","""")))"),"empty")</f>
        <v>empty</v>
      </c>
      <c r="K26" s="19" t="str">
        <f t="shared" ca="1" si="26"/>
        <v>empty</v>
      </c>
      <c r="L26" s="19" t="str">
        <f t="shared" ca="1" si="26"/>
        <v>empty</v>
      </c>
      <c r="M26" s="19" t="str">
        <f t="shared" ca="1" si="26"/>
        <v>empty</v>
      </c>
    </row>
    <row r="27" spans="1:13" ht="15.5" x14ac:dyDescent="0.35">
      <c r="A27" s="17"/>
      <c r="B27" s="19"/>
      <c r="C27" s="19"/>
      <c r="D27" s="19"/>
      <c r="E27" s="19"/>
      <c r="F27" s="19"/>
      <c r="G27" s="13" t="s">
        <v>569</v>
      </c>
      <c r="H27" s="19" t="s">
        <v>569</v>
      </c>
      <c r="I27" s="19" t="str">
        <f t="shared" ca="1" si="1"/>
        <v>http://www.mohawkgroup.com</v>
      </c>
      <c r="J27" s="19" t="str">
        <f t="shared" ref="J27:M27" ca="1" si="27">IFERROR(__xludf.DUMMYFUNCTION("iferror(lower(regexreplace(substitute(trim(if(C27="""",""empty"",C27)),"" "",""_""),""[^A-Za-z0-9_]"","""")))"),"empty")</f>
        <v>empty</v>
      </c>
      <c r="K27" s="19" t="str">
        <f t="shared" ca="1" si="27"/>
        <v>empty</v>
      </c>
      <c r="L27" s="19" t="str">
        <f t="shared" ca="1" si="27"/>
        <v>empty</v>
      </c>
      <c r="M27" s="19" t="str">
        <f t="shared" ca="1" si="27"/>
        <v>empty</v>
      </c>
    </row>
    <row r="28" spans="1:13" ht="15.5" x14ac:dyDescent="0.35">
      <c r="A28" s="17"/>
      <c r="B28" s="19"/>
      <c r="C28" s="19"/>
      <c r="D28" s="19"/>
      <c r="E28" s="19"/>
      <c r="F28" s="19"/>
      <c r="G28" s="13" t="s">
        <v>569</v>
      </c>
      <c r="H28" s="19" t="s">
        <v>569</v>
      </c>
      <c r="I28" s="19" t="str">
        <f t="shared" ca="1" si="1"/>
        <v>http://www.mohawkgroup.com</v>
      </c>
      <c r="J28" s="19" t="str">
        <f t="shared" ref="J28:M28" ca="1" si="28">IFERROR(__xludf.DUMMYFUNCTION("iferror(lower(regexreplace(substitute(trim(if(C28="""",""empty"",C28)),"" "",""_""),""[^A-Za-z0-9_]"","""")))"),"empty")</f>
        <v>empty</v>
      </c>
      <c r="K28" s="19" t="str">
        <f t="shared" ca="1" si="28"/>
        <v>empty</v>
      </c>
      <c r="L28" s="19" t="str">
        <f t="shared" ca="1" si="28"/>
        <v>empty</v>
      </c>
      <c r="M28" s="19" t="str">
        <f t="shared" ca="1" si="28"/>
        <v>empty</v>
      </c>
    </row>
    <row r="29" spans="1:13" ht="15.5" x14ac:dyDescent="0.35">
      <c r="A29" s="17"/>
      <c r="B29" s="19"/>
      <c r="C29" s="19"/>
      <c r="D29" s="19"/>
      <c r="E29" s="19"/>
      <c r="F29" s="19"/>
      <c r="G29" s="13" t="s">
        <v>569</v>
      </c>
      <c r="H29" s="19" t="s">
        <v>569</v>
      </c>
      <c r="I29" s="19" t="str">
        <f t="shared" ca="1" si="1"/>
        <v>http://www.mohawkgroup.com</v>
      </c>
      <c r="J29" s="19" t="str">
        <f t="shared" ref="J29:M29" ca="1" si="29">IFERROR(__xludf.DUMMYFUNCTION("iferror(lower(regexreplace(substitute(trim(if(C29="""",""empty"",C29)),"" "",""_""),""[^A-Za-z0-9_]"","""")))"),"empty")</f>
        <v>empty</v>
      </c>
      <c r="K29" s="19" t="str">
        <f t="shared" ca="1" si="29"/>
        <v>empty</v>
      </c>
      <c r="L29" s="19" t="str">
        <f t="shared" ca="1" si="29"/>
        <v>empty</v>
      </c>
      <c r="M29" s="19" t="str">
        <f t="shared" ca="1" si="29"/>
        <v>empty</v>
      </c>
    </row>
    <row r="30" spans="1:13" ht="15.5" x14ac:dyDescent="0.35">
      <c r="A30" s="17"/>
      <c r="B30" s="19"/>
      <c r="C30" s="19"/>
      <c r="D30" s="19"/>
      <c r="E30" s="19"/>
      <c r="F30" s="19"/>
      <c r="G30" s="13" t="s">
        <v>569</v>
      </c>
      <c r="H30" s="19" t="s">
        <v>569</v>
      </c>
      <c r="I30" s="19" t="str">
        <f t="shared" ca="1" si="1"/>
        <v>http://www.mohawkgroup.com</v>
      </c>
      <c r="J30" s="19" t="str">
        <f t="shared" ref="J30:M30" ca="1" si="30">IFERROR(__xludf.DUMMYFUNCTION("iferror(lower(regexreplace(substitute(trim(if(C30="""",""empty"",C30)),"" "",""_""),""[^A-Za-z0-9_]"","""")))"),"empty")</f>
        <v>empty</v>
      </c>
      <c r="K30" s="19" t="str">
        <f t="shared" ca="1" si="30"/>
        <v>empty</v>
      </c>
      <c r="L30" s="19" t="str">
        <f t="shared" ca="1" si="30"/>
        <v>empty</v>
      </c>
      <c r="M30" s="19" t="str">
        <f t="shared" ca="1" si="30"/>
        <v>empty</v>
      </c>
    </row>
    <row r="31" spans="1:13" ht="15.5" x14ac:dyDescent="0.35">
      <c r="A31" s="17"/>
      <c r="B31" s="19"/>
      <c r="C31" s="19"/>
      <c r="D31" s="19"/>
      <c r="E31" s="19"/>
      <c r="F31" s="19"/>
      <c r="G31" s="13" t="s">
        <v>569</v>
      </c>
      <c r="H31" s="19" t="s">
        <v>569</v>
      </c>
      <c r="I31" s="19" t="str">
        <f t="shared" ca="1" si="1"/>
        <v>http://www.mohawkgroup.com</v>
      </c>
      <c r="J31" s="19" t="str">
        <f t="shared" ref="J31:M31" ca="1" si="31">IFERROR(__xludf.DUMMYFUNCTION("iferror(lower(regexreplace(substitute(trim(if(C31="""",""empty"",C31)),"" "",""_""),""[^A-Za-z0-9_]"","""")))"),"empty")</f>
        <v>empty</v>
      </c>
      <c r="K31" s="19" t="str">
        <f t="shared" ca="1" si="31"/>
        <v>empty</v>
      </c>
      <c r="L31" s="19" t="str">
        <f t="shared" ca="1" si="31"/>
        <v>empty</v>
      </c>
      <c r="M31" s="19" t="str">
        <f t="shared" ca="1" si="31"/>
        <v>empty</v>
      </c>
    </row>
    <row r="32" spans="1:13" ht="15.5" x14ac:dyDescent="0.35">
      <c r="A32" s="17"/>
      <c r="B32" s="19"/>
      <c r="C32" s="19"/>
      <c r="D32" s="19"/>
      <c r="E32" s="19"/>
      <c r="F32" s="19"/>
      <c r="G32" s="13" t="s">
        <v>569</v>
      </c>
      <c r="H32" s="19" t="s">
        <v>569</v>
      </c>
      <c r="I32" s="19" t="str">
        <f t="shared" ca="1" si="1"/>
        <v>http://www.mohawkgroup.com</v>
      </c>
      <c r="J32" s="19" t="str">
        <f t="shared" ref="J32:M32" ca="1" si="32">IFERROR(__xludf.DUMMYFUNCTION("iferror(lower(regexreplace(substitute(trim(if(C32="""",""empty"",C32)),"" "",""_""),""[^A-Za-z0-9_]"","""")))"),"empty")</f>
        <v>empty</v>
      </c>
      <c r="K32" s="19" t="str">
        <f t="shared" ca="1" si="32"/>
        <v>empty</v>
      </c>
      <c r="L32" s="19" t="str">
        <f t="shared" ca="1" si="32"/>
        <v>empty</v>
      </c>
      <c r="M32" s="19" t="str">
        <f t="shared" ca="1" si="32"/>
        <v>empty</v>
      </c>
    </row>
    <row r="33" spans="1:13" ht="15.5" x14ac:dyDescent="0.35">
      <c r="A33" s="17"/>
      <c r="B33" s="19"/>
      <c r="C33" s="19"/>
      <c r="D33" s="19"/>
      <c r="E33" s="19"/>
      <c r="F33" s="19"/>
      <c r="G33" s="13" t="s">
        <v>569</v>
      </c>
      <c r="H33" s="19" t="s">
        <v>569</v>
      </c>
      <c r="I33" s="19" t="str">
        <f t="shared" ca="1" si="1"/>
        <v>http://www.mohawkgroup.com</v>
      </c>
      <c r="J33" s="19" t="str">
        <f t="shared" ref="J33:M33" ca="1" si="33">IFERROR(__xludf.DUMMYFUNCTION("iferror(lower(regexreplace(substitute(trim(if(C33="""",""empty"",C33)),"" "",""_""),""[^A-Za-z0-9_]"","""")))"),"empty")</f>
        <v>empty</v>
      </c>
      <c r="K33" s="19" t="str">
        <f t="shared" ca="1" si="33"/>
        <v>empty</v>
      </c>
      <c r="L33" s="19" t="str">
        <f t="shared" ca="1" si="33"/>
        <v>empty</v>
      </c>
      <c r="M33" s="19" t="str">
        <f t="shared" ca="1" si="33"/>
        <v>empty</v>
      </c>
    </row>
    <row r="34" spans="1:13" ht="15.5" x14ac:dyDescent="0.35">
      <c r="A34" s="17"/>
      <c r="B34" s="19"/>
      <c r="C34" s="19"/>
      <c r="D34" s="19"/>
      <c r="E34" s="19"/>
      <c r="F34" s="19"/>
      <c r="G34" s="13" t="s">
        <v>569</v>
      </c>
      <c r="H34" s="19" t="s">
        <v>569</v>
      </c>
      <c r="I34" s="19" t="str">
        <f t="shared" ca="1" si="1"/>
        <v>http://www.mohawkgroup.com</v>
      </c>
      <c r="J34" s="19" t="str">
        <f t="shared" ref="J34:M34" ca="1" si="34">IFERROR(__xludf.DUMMYFUNCTION("iferror(lower(regexreplace(substitute(trim(if(C34="""",""empty"",C34)),"" "",""_""),""[^A-Za-z0-9_]"","""")))"),"empty")</f>
        <v>empty</v>
      </c>
      <c r="K34" s="19" t="str">
        <f t="shared" ca="1" si="34"/>
        <v>empty</v>
      </c>
      <c r="L34" s="19" t="str">
        <f t="shared" ca="1" si="34"/>
        <v>empty</v>
      </c>
      <c r="M34" s="19" t="str">
        <f t="shared" ca="1" si="34"/>
        <v>empty</v>
      </c>
    </row>
    <row r="35" spans="1:13" ht="15.5" x14ac:dyDescent="0.35">
      <c r="A35" s="17"/>
      <c r="B35" s="19"/>
      <c r="C35" s="19"/>
      <c r="D35" s="19"/>
      <c r="E35" s="19"/>
      <c r="F35" s="19"/>
      <c r="G35" s="13" t="s">
        <v>569</v>
      </c>
      <c r="H35" s="19" t="s">
        <v>569</v>
      </c>
      <c r="I35" s="19" t="str">
        <f t="shared" ca="1" si="1"/>
        <v>http://www.mohawkgroup.com</v>
      </c>
      <c r="J35" s="19" t="str">
        <f t="shared" ref="J35:M35" ca="1" si="35">IFERROR(__xludf.DUMMYFUNCTION("iferror(lower(regexreplace(substitute(trim(if(C35="""",""empty"",C35)),"" "",""_""),""[^A-Za-z0-9_]"","""")))"),"empty")</f>
        <v>empty</v>
      </c>
      <c r="K35" s="19" t="str">
        <f t="shared" ca="1" si="35"/>
        <v>empty</v>
      </c>
      <c r="L35" s="19" t="str">
        <f t="shared" ca="1" si="35"/>
        <v>empty</v>
      </c>
      <c r="M35" s="19" t="str">
        <f t="shared" ca="1" si="35"/>
        <v>empty</v>
      </c>
    </row>
    <row r="36" spans="1:13" ht="15.5" x14ac:dyDescent="0.35">
      <c r="A36" s="17"/>
      <c r="B36" s="19"/>
      <c r="C36" s="19"/>
      <c r="D36" s="19"/>
      <c r="E36" s="19"/>
      <c r="F36" s="19"/>
      <c r="G36" s="13" t="s">
        <v>569</v>
      </c>
      <c r="H36" s="19" t="s">
        <v>569</v>
      </c>
      <c r="I36" s="19" t="str">
        <f t="shared" ca="1" si="1"/>
        <v>http://www.mohawkgroup.com</v>
      </c>
      <c r="J36" s="19" t="str">
        <f t="shared" ref="J36:M36" ca="1" si="36">IFERROR(__xludf.DUMMYFUNCTION("iferror(lower(regexreplace(substitute(trim(if(C36="""",""empty"",C36)),"" "",""_""),""[^A-Za-z0-9_]"","""")))"),"empty")</f>
        <v>empty</v>
      </c>
      <c r="K36" s="19" t="str">
        <f t="shared" ca="1" si="36"/>
        <v>empty</v>
      </c>
      <c r="L36" s="19" t="str">
        <f t="shared" ca="1" si="36"/>
        <v>empty</v>
      </c>
      <c r="M36" s="19" t="str">
        <f t="shared" ca="1" si="36"/>
        <v>empty</v>
      </c>
    </row>
    <row r="37" spans="1:13" ht="15.5" x14ac:dyDescent="0.35">
      <c r="A37" s="17"/>
      <c r="B37" s="19"/>
      <c r="C37" s="19"/>
      <c r="D37" s="19"/>
      <c r="E37" s="19"/>
      <c r="F37" s="19"/>
      <c r="G37" s="13" t="s">
        <v>569</v>
      </c>
      <c r="H37" s="19" t="s">
        <v>569</v>
      </c>
      <c r="I37" s="19" t="str">
        <f t="shared" ca="1" si="1"/>
        <v>http://www.mohawkgroup.com</v>
      </c>
      <c r="J37" s="19" t="str">
        <f t="shared" ref="J37:M37" ca="1" si="37">IFERROR(__xludf.DUMMYFUNCTION("iferror(lower(regexreplace(substitute(trim(if(C37="""",""empty"",C37)),"" "",""_""),""[^A-Za-z0-9_]"","""")))"),"empty")</f>
        <v>empty</v>
      </c>
      <c r="K37" s="19" t="str">
        <f t="shared" ca="1" si="37"/>
        <v>empty</v>
      </c>
      <c r="L37" s="19" t="str">
        <f t="shared" ca="1" si="37"/>
        <v>empty</v>
      </c>
      <c r="M37" s="19" t="str">
        <f t="shared" ca="1" si="37"/>
        <v>empty</v>
      </c>
    </row>
    <row r="38" spans="1:13" ht="15.5" x14ac:dyDescent="0.35">
      <c r="A38" s="17"/>
      <c r="B38" s="19"/>
      <c r="C38" s="19"/>
      <c r="D38" s="19"/>
      <c r="E38" s="19"/>
      <c r="F38" s="19"/>
      <c r="G38" s="13" t="s">
        <v>569</v>
      </c>
      <c r="H38" s="19" t="s">
        <v>569</v>
      </c>
      <c r="I38" s="19" t="str">
        <f t="shared" ca="1" si="1"/>
        <v>http://www.mohawkgroup.com</v>
      </c>
      <c r="J38" s="19" t="str">
        <f t="shared" ref="J38:M38" ca="1" si="38">IFERROR(__xludf.DUMMYFUNCTION("iferror(lower(regexreplace(substitute(trim(if(C38="""",""empty"",C38)),"" "",""_""),""[^A-Za-z0-9_]"","""")))"),"empty")</f>
        <v>empty</v>
      </c>
      <c r="K38" s="19" t="str">
        <f t="shared" ca="1" si="38"/>
        <v>empty</v>
      </c>
      <c r="L38" s="19" t="str">
        <f t="shared" ca="1" si="38"/>
        <v>empty</v>
      </c>
      <c r="M38" s="19" t="str">
        <f t="shared" ca="1" si="38"/>
        <v>empty</v>
      </c>
    </row>
    <row r="39" spans="1:13" ht="15.5" x14ac:dyDescent="0.35">
      <c r="A39" s="17"/>
      <c r="B39" s="19"/>
      <c r="C39" s="19"/>
      <c r="D39" s="19"/>
      <c r="E39" s="19"/>
      <c r="F39" s="19"/>
      <c r="G39" s="13" t="s">
        <v>569</v>
      </c>
      <c r="H39" s="19" t="s">
        <v>569</v>
      </c>
      <c r="I39" s="19" t="str">
        <f t="shared" ca="1" si="1"/>
        <v>http://www.mohawkgroup.com</v>
      </c>
      <c r="J39" s="19" t="str">
        <f t="shared" ref="J39:M39" ca="1" si="39">IFERROR(__xludf.DUMMYFUNCTION("iferror(lower(regexreplace(substitute(trim(if(C39="""",""empty"",C39)),"" "",""_""),""[^A-Za-z0-9_]"","""")))"),"empty")</f>
        <v>empty</v>
      </c>
      <c r="K39" s="19" t="str">
        <f t="shared" ca="1" si="39"/>
        <v>empty</v>
      </c>
      <c r="L39" s="19" t="str">
        <f t="shared" ca="1" si="39"/>
        <v>empty</v>
      </c>
      <c r="M39" s="19" t="str">
        <f t="shared" ca="1" si="39"/>
        <v>empty</v>
      </c>
    </row>
    <row r="40" spans="1:13" ht="15.5" x14ac:dyDescent="0.35">
      <c r="A40" s="17"/>
      <c r="B40" s="19"/>
      <c r="C40" s="19"/>
      <c r="D40" s="19"/>
      <c r="E40" s="19"/>
      <c r="F40" s="19"/>
      <c r="G40" s="13" t="s">
        <v>569</v>
      </c>
      <c r="H40" s="19" t="s">
        <v>569</v>
      </c>
      <c r="I40" s="19" t="str">
        <f t="shared" ca="1" si="1"/>
        <v>http://www.mohawkgroup.com</v>
      </c>
      <c r="J40" s="19" t="str">
        <f t="shared" ref="J40:M40" ca="1" si="40">IFERROR(__xludf.DUMMYFUNCTION("iferror(lower(regexreplace(substitute(trim(if(C40="""",""empty"",C40)),"" "",""_""),""[^A-Za-z0-9_]"","""")))"),"empty")</f>
        <v>empty</v>
      </c>
      <c r="K40" s="19" t="str">
        <f t="shared" ca="1" si="40"/>
        <v>empty</v>
      </c>
      <c r="L40" s="19" t="str">
        <f t="shared" ca="1" si="40"/>
        <v>empty</v>
      </c>
      <c r="M40" s="19" t="str">
        <f t="shared" ca="1" si="40"/>
        <v>empty</v>
      </c>
    </row>
    <row r="41" spans="1:13" ht="15.5" x14ac:dyDescent="0.35">
      <c r="A41" s="17"/>
      <c r="B41" s="19"/>
      <c r="C41" s="19"/>
      <c r="D41" s="19"/>
      <c r="E41" s="19"/>
      <c r="F41" s="19"/>
      <c r="G41" s="13" t="s">
        <v>569</v>
      </c>
      <c r="H41" s="19" t="s">
        <v>569</v>
      </c>
      <c r="I41" s="19" t="str">
        <f t="shared" ca="1" si="1"/>
        <v>http://www.mohawkgroup.com</v>
      </c>
      <c r="J41" s="19" t="str">
        <f t="shared" ref="J41:M41" ca="1" si="41">IFERROR(__xludf.DUMMYFUNCTION("iferror(lower(regexreplace(substitute(trim(if(C41="""",""empty"",C41)),"" "",""_""),""[^A-Za-z0-9_]"","""")))"),"empty")</f>
        <v>empty</v>
      </c>
      <c r="K41" s="19" t="str">
        <f t="shared" ca="1" si="41"/>
        <v>empty</v>
      </c>
      <c r="L41" s="19" t="str">
        <f t="shared" ca="1" si="41"/>
        <v>empty</v>
      </c>
      <c r="M41" s="19" t="str">
        <f t="shared" ca="1" si="41"/>
        <v>empty</v>
      </c>
    </row>
    <row r="42" spans="1:13" ht="15.5" x14ac:dyDescent="0.35">
      <c r="A42" s="17"/>
      <c r="B42" s="19"/>
      <c r="C42" s="19"/>
      <c r="D42" s="19"/>
      <c r="E42" s="19"/>
      <c r="F42" s="19"/>
      <c r="G42" s="13" t="s">
        <v>569</v>
      </c>
      <c r="H42" s="19" t="s">
        <v>569</v>
      </c>
      <c r="I42" s="19" t="str">
        <f t="shared" ca="1" si="1"/>
        <v>http://www.mohawkgroup.com</v>
      </c>
      <c r="J42" s="19" t="str">
        <f t="shared" ref="J42:M42" ca="1" si="42">IFERROR(__xludf.DUMMYFUNCTION("iferror(lower(regexreplace(substitute(trim(if(C42="""",""empty"",C42)),"" "",""_""),""[^A-Za-z0-9_]"","""")))"),"empty")</f>
        <v>empty</v>
      </c>
      <c r="K42" s="19" t="str">
        <f t="shared" ca="1" si="42"/>
        <v>empty</v>
      </c>
      <c r="L42" s="19" t="str">
        <f t="shared" ca="1" si="42"/>
        <v>empty</v>
      </c>
      <c r="M42" s="19" t="str">
        <f t="shared" ca="1" si="42"/>
        <v>empty</v>
      </c>
    </row>
    <row r="43" spans="1:13" ht="15.5" x14ac:dyDescent="0.35">
      <c r="A43" s="17"/>
      <c r="B43" s="19"/>
      <c r="C43" s="19"/>
      <c r="D43" s="19"/>
      <c r="E43" s="19"/>
      <c r="F43" s="19"/>
      <c r="G43" s="13" t="s">
        <v>569</v>
      </c>
      <c r="H43" s="19" t="s">
        <v>569</v>
      </c>
      <c r="I43" s="19" t="str">
        <f t="shared" ca="1" si="1"/>
        <v>http://www.mohawkgroup.com</v>
      </c>
      <c r="J43" s="19" t="str">
        <f t="shared" ref="J43:M43" ca="1" si="43">IFERROR(__xludf.DUMMYFUNCTION("iferror(lower(regexreplace(substitute(trim(if(C43="""",""empty"",C43)),"" "",""_""),""[^A-Za-z0-9_]"","""")))"),"empty")</f>
        <v>empty</v>
      </c>
      <c r="K43" s="19" t="str">
        <f t="shared" ca="1" si="43"/>
        <v>empty</v>
      </c>
      <c r="L43" s="19" t="str">
        <f t="shared" ca="1" si="43"/>
        <v>empty</v>
      </c>
      <c r="M43" s="19" t="str">
        <f t="shared" ca="1" si="43"/>
        <v>empty</v>
      </c>
    </row>
    <row r="44" spans="1:13" ht="15.5" x14ac:dyDescent="0.35">
      <c r="A44" s="17"/>
      <c r="B44" s="19"/>
      <c r="C44" s="19"/>
      <c r="D44" s="19"/>
      <c r="E44" s="19"/>
      <c r="F44" s="19"/>
      <c r="G44" s="13" t="s">
        <v>569</v>
      </c>
      <c r="H44" s="19" t="s">
        <v>569</v>
      </c>
      <c r="I44" s="19" t="str">
        <f t="shared" ca="1" si="1"/>
        <v>http://www.mohawkgroup.com</v>
      </c>
      <c r="J44" s="19" t="str">
        <f t="shared" ref="J44:M44" ca="1" si="44">IFERROR(__xludf.DUMMYFUNCTION("iferror(lower(regexreplace(substitute(trim(if(C44="""",""empty"",C44)),"" "",""_""),""[^A-Za-z0-9_]"","""")))"),"empty")</f>
        <v>empty</v>
      </c>
      <c r="K44" s="19" t="str">
        <f t="shared" ca="1" si="44"/>
        <v>empty</v>
      </c>
      <c r="L44" s="19" t="str">
        <f t="shared" ca="1" si="44"/>
        <v>empty</v>
      </c>
      <c r="M44" s="19" t="str">
        <f t="shared" ca="1" si="44"/>
        <v>empty</v>
      </c>
    </row>
    <row r="45" spans="1:13" ht="15.5" x14ac:dyDescent="0.35">
      <c r="A45" s="17"/>
      <c r="B45" s="19"/>
      <c r="C45" s="19"/>
      <c r="D45" s="19"/>
      <c r="E45" s="19"/>
      <c r="F45" s="19"/>
      <c r="G45" s="13" t="s">
        <v>569</v>
      </c>
      <c r="H45" s="19" t="s">
        <v>569</v>
      </c>
      <c r="I45" s="19" t="str">
        <f t="shared" ca="1" si="1"/>
        <v>http://www.mohawkgroup.com</v>
      </c>
      <c r="J45" s="19" t="str">
        <f t="shared" ref="J45:M45" ca="1" si="45">IFERROR(__xludf.DUMMYFUNCTION("iferror(lower(regexreplace(substitute(trim(if(C45="""",""empty"",C45)),"" "",""_""),""[^A-Za-z0-9_]"","""")))"),"empty")</f>
        <v>empty</v>
      </c>
      <c r="K45" s="19" t="str">
        <f t="shared" ca="1" si="45"/>
        <v>empty</v>
      </c>
      <c r="L45" s="19" t="str">
        <f t="shared" ca="1" si="45"/>
        <v>empty</v>
      </c>
      <c r="M45" s="19" t="str">
        <f t="shared" ca="1" si="45"/>
        <v>empty</v>
      </c>
    </row>
    <row r="46" spans="1:13" ht="15.5" x14ac:dyDescent="0.35">
      <c r="A46" s="17"/>
      <c r="B46" s="19"/>
      <c r="C46" s="19"/>
      <c r="D46" s="19"/>
      <c r="E46" s="19"/>
      <c r="F46" s="19"/>
      <c r="G46" s="13" t="s">
        <v>569</v>
      </c>
      <c r="H46" s="19" t="s">
        <v>569</v>
      </c>
      <c r="I46" s="19" t="str">
        <f t="shared" ca="1" si="1"/>
        <v>http://www.mohawkgroup.com</v>
      </c>
      <c r="J46" s="19" t="str">
        <f t="shared" ref="J46:M46" ca="1" si="46">IFERROR(__xludf.DUMMYFUNCTION("iferror(lower(regexreplace(substitute(trim(if(C46="""",""empty"",C46)),"" "",""_""),""[^A-Za-z0-9_]"","""")))"),"empty")</f>
        <v>empty</v>
      </c>
      <c r="K46" s="19" t="str">
        <f t="shared" ca="1" si="46"/>
        <v>empty</v>
      </c>
      <c r="L46" s="19" t="str">
        <f t="shared" ca="1" si="46"/>
        <v>empty</v>
      </c>
      <c r="M46" s="19" t="str">
        <f t="shared" ca="1" si="46"/>
        <v>empty</v>
      </c>
    </row>
    <row r="47" spans="1:13" ht="15.5" x14ac:dyDescent="0.35">
      <c r="A47" s="17"/>
      <c r="B47" s="19"/>
      <c r="C47" s="19"/>
      <c r="D47" s="19"/>
      <c r="E47" s="19"/>
      <c r="F47" s="19"/>
      <c r="G47" s="13" t="s">
        <v>569</v>
      </c>
      <c r="H47" s="19" t="s">
        <v>569</v>
      </c>
      <c r="I47" s="19" t="str">
        <f t="shared" ca="1" si="1"/>
        <v>http://www.mohawkgroup.com</v>
      </c>
      <c r="J47" s="19" t="str">
        <f t="shared" ref="J47:M47" ca="1" si="47">IFERROR(__xludf.DUMMYFUNCTION("iferror(lower(regexreplace(substitute(trim(if(C47="""",""empty"",C47)),"" "",""_""),""[^A-Za-z0-9_]"","""")))"),"empty")</f>
        <v>empty</v>
      </c>
      <c r="K47" s="19" t="str">
        <f t="shared" ca="1" si="47"/>
        <v>empty</v>
      </c>
      <c r="L47" s="19" t="str">
        <f t="shared" ca="1" si="47"/>
        <v>empty</v>
      </c>
      <c r="M47" s="19" t="str">
        <f t="shared" ca="1" si="47"/>
        <v>empty</v>
      </c>
    </row>
    <row r="48" spans="1:13" ht="15.5" x14ac:dyDescent="0.35">
      <c r="A48" s="17"/>
      <c r="B48" s="19"/>
      <c r="C48" s="19"/>
      <c r="D48" s="19"/>
      <c r="E48" s="19"/>
      <c r="F48" s="19"/>
      <c r="G48" s="13" t="s">
        <v>569</v>
      </c>
      <c r="H48" s="19" t="s">
        <v>569</v>
      </c>
      <c r="I48" s="19" t="str">
        <f t="shared" ca="1" si="1"/>
        <v>http://www.mohawkgroup.com</v>
      </c>
      <c r="J48" s="19" t="str">
        <f t="shared" ref="J48:M48" ca="1" si="48">IFERROR(__xludf.DUMMYFUNCTION("iferror(lower(regexreplace(substitute(trim(if(C48="""",""empty"",C48)),"" "",""_""),""[^A-Za-z0-9_]"","""")))"),"empty")</f>
        <v>empty</v>
      </c>
      <c r="K48" s="19" t="str">
        <f t="shared" ca="1" si="48"/>
        <v>empty</v>
      </c>
      <c r="L48" s="19" t="str">
        <f t="shared" ca="1" si="48"/>
        <v>empty</v>
      </c>
      <c r="M48" s="19" t="str">
        <f t="shared" ca="1" si="48"/>
        <v>empty</v>
      </c>
    </row>
    <row r="49" spans="1:13" ht="15.5" x14ac:dyDescent="0.35">
      <c r="A49" s="17"/>
      <c r="B49" s="19"/>
      <c r="C49" s="19"/>
      <c r="D49" s="19"/>
      <c r="E49" s="19"/>
      <c r="F49" s="19"/>
      <c r="G49" s="13" t="s">
        <v>569</v>
      </c>
      <c r="H49" s="19" t="s">
        <v>569</v>
      </c>
      <c r="I49" s="19" t="str">
        <f t="shared" ca="1" si="1"/>
        <v>http://www.mohawkgroup.com</v>
      </c>
      <c r="J49" s="19" t="str">
        <f t="shared" ref="J49:M49" ca="1" si="49">IFERROR(__xludf.DUMMYFUNCTION("iferror(lower(regexreplace(substitute(trim(if(C49="""",""empty"",C49)),"" "",""_""),""[^A-Za-z0-9_]"","""")))"),"empty")</f>
        <v>empty</v>
      </c>
      <c r="K49" s="19" t="str">
        <f t="shared" ca="1" si="49"/>
        <v>empty</v>
      </c>
      <c r="L49" s="19" t="str">
        <f t="shared" ca="1" si="49"/>
        <v>empty</v>
      </c>
      <c r="M49" s="19" t="str">
        <f t="shared" ca="1" si="49"/>
        <v>empty</v>
      </c>
    </row>
    <row r="50" spans="1:13" ht="15.5" x14ac:dyDescent="0.35">
      <c r="A50" s="17"/>
      <c r="B50" s="19"/>
      <c r="C50" s="19"/>
      <c r="D50" s="19"/>
      <c r="E50" s="19"/>
      <c r="F50" s="19"/>
      <c r="G50" s="13" t="s">
        <v>569</v>
      </c>
      <c r="H50" s="19" t="s">
        <v>569</v>
      </c>
      <c r="I50" s="19" t="str">
        <f t="shared" ca="1" si="1"/>
        <v>http://www.mohawkgroup.com</v>
      </c>
      <c r="J50" s="19" t="str">
        <f t="shared" ref="J50:M50" ca="1" si="50">IFERROR(__xludf.DUMMYFUNCTION("iferror(lower(regexreplace(substitute(trim(if(C50="""",""empty"",C50)),"" "",""_""),""[^A-Za-z0-9_]"","""")))"),"empty")</f>
        <v>empty</v>
      </c>
      <c r="K50" s="19" t="str">
        <f t="shared" ca="1" si="50"/>
        <v>empty</v>
      </c>
      <c r="L50" s="19" t="str">
        <f t="shared" ca="1" si="50"/>
        <v>empty</v>
      </c>
      <c r="M50" s="19" t="str">
        <f t="shared" ca="1" si="50"/>
        <v>empty</v>
      </c>
    </row>
    <row r="51" spans="1:13" ht="15.5" x14ac:dyDescent="0.35">
      <c r="A51" s="17"/>
      <c r="B51" s="19"/>
      <c r="C51" s="19"/>
      <c r="D51" s="19"/>
      <c r="E51" s="19"/>
      <c r="F51" s="19"/>
      <c r="G51" s="13" t="s">
        <v>569</v>
      </c>
      <c r="H51" s="19" t="s">
        <v>569</v>
      </c>
      <c r="I51" s="19" t="str">
        <f t="shared" ca="1" si="1"/>
        <v>http://www.mohawkgroup.com</v>
      </c>
      <c r="J51" s="19" t="str">
        <f t="shared" ref="J51:M51" ca="1" si="51">IFERROR(__xludf.DUMMYFUNCTION("iferror(lower(regexreplace(substitute(trim(if(C51="""",""empty"",C51)),"" "",""_""),""[^A-Za-z0-9_]"","""")))"),"empty")</f>
        <v>empty</v>
      </c>
      <c r="K51" s="19" t="str">
        <f t="shared" ca="1" si="51"/>
        <v>empty</v>
      </c>
      <c r="L51" s="19" t="str">
        <f t="shared" ca="1" si="51"/>
        <v>empty</v>
      </c>
      <c r="M51" s="19" t="str">
        <f t="shared" ca="1" si="51"/>
        <v>empty</v>
      </c>
    </row>
    <row r="52" spans="1:13" ht="15.5" x14ac:dyDescent="0.35">
      <c r="A52" s="17"/>
      <c r="B52" s="19"/>
      <c r="C52" s="19"/>
      <c r="D52" s="19"/>
      <c r="E52" s="19"/>
      <c r="F52" s="19"/>
      <c r="G52" s="13" t="s">
        <v>569</v>
      </c>
      <c r="H52" s="19" t="s">
        <v>569</v>
      </c>
      <c r="I52" s="19" t="str">
        <f t="shared" ca="1" si="1"/>
        <v>http://www.mohawkgroup.com</v>
      </c>
      <c r="J52" s="19" t="str">
        <f t="shared" ref="J52:M52" ca="1" si="52">IFERROR(__xludf.DUMMYFUNCTION("iferror(lower(regexreplace(substitute(trim(if(C52="""",""empty"",C52)),"" "",""_""),""[^A-Za-z0-9_]"","""")))"),"empty")</f>
        <v>empty</v>
      </c>
      <c r="K52" s="19" t="str">
        <f t="shared" ca="1" si="52"/>
        <v>empty</v>
      </c>
      <c r="L52" s="19" t="str">
        <f t="shared" ca="1" si="52"/>
        <v>empty</v>
      </c>
      <c r="M52" s="19" t="str">
        <f t="shared" ca="1" si="52"/>
        <v>empty</v>
      </c>
    </row>
    <row r="53" spans="1:13" ht="15.5" x14ac:dyDescent="0.35">
      <c r="A53" s="17"/>
      <c r="B53" s="19"/>
      <c r="C53" s="19"/>
      <c r="D53" s="19"/>
      <c r="E53" s="19"/>
      <c r="F53" s="19"/>
      <c r="G53" s="13" t="s">
        <v>569</v>
      </c>
      <c r="H53" s="19" t="s">
        <v>569</v>
      </c>
      <c r="I53" s="19" t="str">
        <f t="shared" ca="1" si="1"/>
        <v>http://www.mohawkgroup.com</v>
      </c>
      <c r="J53" s="19" t="str">
        <f t="shared" ref="J53:M53" ca="1" si="53">IFERROR(__xludf.DUMMYFUNCTION("iferror(lower(regexreplace(substitute(trim(if(C53="""",""empty"",C53)),"" "",""_""),""[^A-Za-z0-9_]"","""")))"),"empty")</f>
        <v>empty</v>
      </c>
      <c r="K53" s="19" t="str">
        <f t="shared" ca="1" si="53"/>
        <v>empty</v>
      </c>
      <c r="L53" s="19" t="str">
        <f t="shared" ca="1" si="53"/>
        <v>empty</v>
      </c>
      <c r="M53" s="19" t="str">
        <f t="shared" ca="1" si="53"/>
        <v>empty</v>
      </c>
    </row>
    <row r="54" spans="1:13" ht="15.5" x14ac:dyDescent="0.35">
      <c r="A54" s="17"/>
      <c r="B54" s="19"/>
      <c r="C54" s="19"/>
      <c r="D54" s="19"/>
      <c r="E54" s="19"/>
      <c r="F54" s="19"/>
      <c r="G54" s="13" t="s">
        <v>569</v>
      </c>
      <c r="H54" s="19" t="s">
        <v>569</v>
      </c>
      <c r="I54" s="19" t="str">
        <f t="shared" ca="1" si="1"/>
        <v>http://www.mohawkgroup.com</v>
      </c>
      <c r="J54" s="19" t="str">
        <f t="shared" ref="J54:M54" ca="1" si="54">IFERROR(__xludf.DUMMYFUNCTION("iferror(lower(regexreplace(substitute(trim(if(C54="""",""empty"",C54)),"" "",""_""),""[^A-Za-z0-9_]"","""")))"),"empty")</f>
        <v>empty</v>
      </c>
      <c r="K54" s="19" t="str">
        <f t="shared" ca="1" si="54"/>
        <v>empty</v>
      </c>
      <c r="L54" s="19" t="str">
        <f t="shared" ca="1" si="54"/>
        <v>empty</v>
      </c>
      <c r="M54" s="19" t="str">
        <f t="shared" ca="1" si="54"/>
        <v>empty</v>
      </c>
    </row>
    <row r="55" spans="1:13" ht="15.5" x14ac:dyDescent="0.35">
      <c r="A55" s="17"/>
      <c r="B55" s="19"/>
      <c r="C55" s="19"/>
      <c r="D55" s="19"/>
      <c r="E55" s="19"/>
      <c r="F55" s="19"/>
      <c r="G55" s="13" t="s">
        <v>569</v>
      </c>
      <c r="H55" s="19" t="s">
        <v>569</v>
      </c>
      <c r="I55" s="19" t="str">
        <f t="shared" ca="1" si="1"/>
        <v>http://www.mohawkgroup.com</v>
      </c>
      <c r="J55" s="19" t="str">
        <f t="shared" ref="J55:M55" ca="1" si="55">IFERROR(__xludf.DUMMYFUNCTION("iferror(lower(regexreplace(substitute(trim(if(C55="""",""empty"",C55)),"" "",""_""),""[^A-Za-z0-9_]"","""")))"),"empty")</f>
        <v>empty</v>
      </c>
      <c r="K55" s="19" t="str">
        <f t="shared" ca="1" si="55"/>
        <v>empty</v>
      </c>
      <c r="L55" s="19" t="str">
        <f t="shared" ca="1" si="55"/>
        <v>empty</v>
      </c>
      <c r="M55" s="19" t="str">
        <f t="shared" ca="1" si="55"/>
        <v>empty</v>
      </c>
    </row>
    <row r="56" spans="1:13" ht="15.5" x14ac:dyDescent="0.35">
      <c r="A56" s="17"/>
      <c r="B56" s="19"/>
      <c r="C56" s="19"/>
      <c r="D56" s="19"/>
      <c r="E56" s="19"/>
      <c r="F56" s="19"/>
      <c r="G56" s="13" t="s">
        <v>569</v>
      </c>
      <c r="H56" s="19" t="s">
        <v>569</v>
      </c>
      <c r="I56" s="19" t="str">
        <f t="shared" ca="1" si="1"/>
        <v>http://www.mohawkgroup.com</v>
      </c>
      <c r="J56" s="19" t="str">
        <f t="shared" ref="J56:M56" ca="1" si="56">IFERROR(__xludf.DUMMYFUNCTION("iferror(lower(regexreplace(substitute(trim(if(C56="""",""empty"",C56)),"" "",""_""),""[^A-Za-z0-9_]"","""")))"),"empty")</f>
        <v>empty</v>
      </c>
      <c r="K56" s="19" t="str">
        <f t="shared" ca="1" si="56"/>
        <v>empty</v>
      </c>
      <c r="L56" s="19" t="str">
        <f t="shared" ca="1" si="56"/>
        <v>empty</v>
      </c>
      <c r="M56" s="19" t="str">
        <f t="shared" ca="1" si="56"/>
        <v>empty</v>
      </c>
    </row>
    <row r="57" spans="1:13" ht="15.5" x14ac:dyDescent="0.35">
      <c r="A57" s="17"/>
      <c r="B57" s="19"/>
      <c r="C57" s="19"/>
      <c r="D57" s="19"/>
      <c r="E57" s="19"/>
      <c r="F57" s="19"/>
      <c r="G57" s="13" t="s">
        <v>569</v>
      </c>
      <c r="H57" s="19" t="s">
        <v>569</v>
      </c>
      <c r="I57" s="19" t="str">
        <f t="shared" ca="1" si="1"/>
        <v>http://www.mohawkgroup.com</v>
      </c>
      <c r="J57" s="19" t="str">
        <f t="shared" ref="J57:M57" ca="1" si="57">IFERROR(__xludf.DUMMYFUNCTION("iferror(lower(regexreplace(substitute(trim(if(C57="""",""empty"",C57)),"" "",""_""),""[^A-Za-z0-9_]"","""")))"),"empty")</f>
        <v>empty</v>
      </c>
      <c r="K57" s="19" t="str">
        <f t="shared" ca="1" si="57"/>
        <v>empty</v>
      </c>
      <c r="L57" s="19" t="str">
        <f t="shared" ca="1" si="57"/>
        <v>empty</v>
      </c>
      <c r="M57" s="19" t="str">
        <f t="shared" ca="1" si="57"/>
        <v>empty</v>
      </c>
    </row>
    <row r="58" spans="1:13" ht="15.5" x14ac:dyDescent="0.35">
      <c r="A58" s="17"/>
      <c r="B58" s="19"/>
      <c r="C58" s="19"/>
      <c r="D58" s="19"/>
      <c r="E58" s="19"/>
      <c r="F58" s="19"/>
      <c r="G58" s="13" t="s">
        <v>569</v>
      </c>
      <c r="H58" s="19" t="s">
        <v>569</v>
      </c>
      <c r="I58" s="19" t="str">
        <f t="shared" ca="1" si="1"/>
        <v>http://www.mohawkgroup.com</v>
      </c>
      <c r="J58" s="19" t="str">
        <f t="shared" ref="J58:M58" ca="1" si="58">IFERROR(__xludf.DUMMYFUNCTION("iferror(lower(regexreplace(substitute(trim(if(C58="""",""empty"",C58)),"" "",""_""),""[^A-Za-z0-9_]"","""")))"),"empty")</f>
        <v>empty</v>
      </c>
      <c r="K58" s="19" t="str">
        <f t="shared" ca="1" si="58"/>
        <v>empty</v>
      </c>
      <c r="L58" s="19" t="str">
        <f t="shared" ca="1" si="58"/>
        <v>empty</v>
      </c>
      <c r="M58" s="19" t="str">
        <f t="shared" ca="1" si="58"/>
        <v>empty</v>
      </c>
    </row>
    <row r="59" spans="1:13" ht="15.5" x14ac:dyDescent="0.35">
      <c r="A59" s="17"/>
      <c r="B59" s="19"/>
      <c r="C59" s="19"/>
      <c r="D59" s="19"/>
      <c r="E59" s="19"/>
      <c r="F59" s="19"/>
      <c r="G59" s="13" t="s">
        <v>569</v>
      </c>
      <c r="H59" s="19" t="s">
        <v>569</v>
      </c>
      <c r="I59" s="19" t="str">
        <f t="shared" ca="1" si="1"/>
        <v>http://www.mohawkgroup.com</v>
      </c>
      <c r="J59" s="19" t="str">
        <f t="shared" ref="J59:M59" ca="1" si="59">IFERROR(__xludf.DUMMYFUNCTION("iferror(lower(regexreplace(substitute(trim(if(C59="""",""empty"",C59)),"" "",""_""),""[^A-Za-z0-9_]"","""")))"),"empty")</f>
        <v>empty</v>
      </c>
      <c r="K59" s="19" t="str">
        <f t="shared" ca="1" si="59"/>
        <v>empty</v>
      </c>
      <c r="L59" s="19" t="str">
        <f t="shared" ca="1" si="59"/>
        <v>empty</v>
      </c>
      <c r="M59" s="19" t="str">
        <f t="shared" ca="1" si="59"/>
        <v>empty</v>
      </c>
    </row>
    <row r="60" spans="1:13" ht="15.5" x14ac:dyDescent="0.35">
      <c r="A60" s="17"/>
      <c r="B60" s="19"/>
      <c r="C60" s="19"/>
      <c r="D60" s="19"/>
      <c r="E60" s="19"/>
      <c r="F60" s="19"/>
      <c r="G60" s="13" t="s">
        <v>569</v>
      </c>
      <c r="H60" s="19" t="s">
        <v>569</v>
      </c>
      <c r="I60" s="19" t="str">
        <f t="shared" ca="1" si="1"/>
        <v>http://www.mohawkgroup.com</v>
      </c>
      <c r="J60" s="19" t="str">
        <f t="shared" ref="J60:M60" ca="1" si="60">IFERROR(__xludf.DUMMYFUNCTION("iferror(lower(regexreplace(substitute(trim(if(C60="""",""empty"",C60)),"" "",""_""),""[^A-Za-z0-9_]"","""")))"),"empty")</f>
        <v>empty</v>
      </c>
      <c r="K60" s="19" t="str">
        <f t="shared" ca="1" si="60"/>
        <v>empty</v>
      </c>
      <c r="L60" s="19" t="str">
        <f t="shared" ca="1" si="60"/>
        <v>empty</v>
      </c>
      <c r="M60" s="19" t="str">
        <f t="shared" ca="1" si="60"/>
        <v>empty</v>
      </c>
    </row>
    <row r="61" spans="1:13" ht="15.5" x14ac:dyDescent="0.35">
      <c r="A61" s="17"/>
      <c r="B61" s="19"/>
      <c r="C61" s="19"/>
      <c r="D61" s="19"/>
      <c r="E61" s="19"/>
      <c r="F61" s="19"/>
      <c r="G61" s="13" t="s">
        <v>569</v>
      </c>
      <c r="H61" s="19" t="s">
        <v>569</v>
      </c>
      <c r="I61" s="19" t="str">
        <f t="shared" ca="1" si="1"/>
        <v>http://www.mohawkgroup.com</v>
      </c>
      <c r="J61" s="19" t="str">
        <f t="shared" ref="J61:M61" ca="1" si="61">IFERROR(__xludf.DUMMYFUNCTION("iferror(lower(regexreplace(substitute(trim(if(C61="""",""empty"",C61)),"" "",""_""),""[^A-Za-z0-9_]"","""")))"),"empty")</f>
        <v>empty</v>
      </c>
      <c r="K61" s="19" t="str">
        <f t="shared" ca="1" si="61"/>
        <v>empty</v>
      </c>
      <c r="L61" s="19" t="str">
        <f t="shared" ca="1" si="61"/>
        <v>empty</v>
      </c>
      <c r="M61" s="19" t="str">
        <f t="shared" ca="1" si="61"/>
        <v>empty</v>
      </c>
    </row>
    <row r="62" spans="1:13" ht="15.5" x14ac:dyDescent="0.35">
      <c r="A62" s="17"/>
      <c r="B62" s="19"/>
      <c r="C62" s="19"/>
      <c r="D62" s="19"/>
      <c r="E62" s="19"/>
      <c r="F62" s="19"/>
      <c r="G62" s="13" t="s">
        <v>569</v>
      </c>
      <c r="H62" s="19" t="s">
        <v>569</v>
      </c>
      <c r="I62" s="19" t="str">
        <f t="shared" ca="1" si="1"/>
        <v>http://www.mohawkgroup.com</v>
      </c>
      <c r="J62" s="19" t="str">
        <f t="shared" ref="J62:M62" ca="1" si="62">IFERROR(__xludf.DUMMYFUNCTION("iferror(lower(regexreplace(substitute(trim(if(C62="""",""empty"",C62)),"" "",""_""),""[^A-Za-z0-9_]"","""")))"),"empty")</f>
        <v>empty</v>
      </c>
      <c r="K62" s="19" t="str">
        <f t="shared" ca="1" si="62"/>
        <v>empty</v>
      </c>
      <c r="L62" s="19" t="str">
        <f t="shared" ca="1" si="62"/>
        <v>empty</v>
      </c>
      <c r="M62" s="19" t="str">
        <f t="shared" ca="1" si="62"/>
        <v>empty</v>
      </c>
    </row>
    <row r="63" spans="1:13" ht="15.5" x14ac:dyDescent="0.35">
      <c r="A63" s="17"/>
      <c r="B63" s="19"/>
      <c r="C63" s="19"/>
      <c r="D63" s="19"/>
      <c r="E63" s="19"/>
      <c r="F63" s="19"/>
      <c r="G63" s="13" t="s">
        <v>569</v>
      </c>
      <c r="H63" s="19" t="s">
        <v>569</v>
      </c>
      <c r="I63" s="19" t="str">
        <f t="shared" ca="1" si="1"/>
        <v>http://www.mohawkgroup.com</v>
      </c>
      <c r="J63" s="19" t="str">
        <f t="shared" ref="J63:M63" ca="1" si="63">IFERROR(__xludf.DUMMYFUNCTION("iferror(lower(regexreplace(substitute(trim(if(C63="""",""empty"",C63)),"" "",""_""),""[^A-Za-z0-9_]"","""")))"),"empty")</f>
        <v>empty</v>
      </c>
      <c r="K63" s="19" t="str">
        <f t="shared" ca="1" si="63"/>
        <v>empty</v>
      </c>
      <c r="L63" s="19" t="str">
        <f t="shared" ca="1" si="63"/>
        <v>empty</v>
      </c>
      <c r="M63" s="19" t="str">
        <f t="shared" ca="1" si="63"/>
        <v>empty</v>
      </c>
    </row>
    <row r="64" spans="1:13" ht="15.5" x14ac:dyDescent="0.35">
      <c r="A64" s="17"/>
      <c r="B64" s="19"/>
      <c r="C64" s="19"/>
      <c r="D64" s="19"/>
      <c r="E64" s="19"/>
      <c r="F64" s="19"/>
      <c r="G64" s="13" t="s">
        <v>569</v>
      </c>
      <c r="H64" s="19" t="s">
        <v>569</v>
      </c>
      <c r="I64" s="19" t="str">
        <f t="shared" ca="1" si="1"/>
        <v>http://www.mohawkgroup.com</v>
      </c>
      <c r="J64" s="19" t="str">
        <f t="shared" ref="J64:M64" ca="1" si="64">IFERROR(__xludf.DUMMYFUNCTION("iferror(lower(regexreplace(substitute(trim(if(C64="""",""empty"",C64)),"" "",""_""),""[^A-Za-z0-9_]"","""")))"),"empty")</f>
        <v>empty</v>
      </c>
      <c r="K64" s="19" t="str">
        <f t="shared" ca="1" si="64"/>
        <v>empty</v>
      </c>
      <c r="L64" s="19" t="str">
        <f t="shared" ca="1" si="64"/>
        <v>empty</v>
      </c>
      <c r="M64" s="19" t="str">
        <f t="shared" ca="1" si="64"/>
        <v>empty</v>
      </c>
    </row>
    <row r="65" spans="1:13" ht="15.5" x14ac:dyDescent="0.35">
      <c r="A65" s="17"/>
      <c r="B65" s="19"/>
      <c r="C65" s="19"/>
      <c r="D65" s="19"/>
      <c r="E65" s="19"/>
      <c r="F65" s="19"/>
      <c r="G65" s="13" t="s">
        <v>569</v>
      </c>
      <c r="H65" s="19" t="s">
        <v>569</v>
      </c>
      <c r="I65" s="19" t="str">
        <f t="shared" ca="1" si="1"/>
        <v>http://www.mohawkgroup.com</v>
      </c>
      <c r="J65" s="19" t="str">
        <f t="shared" ref="J65:M65" ca="1" si="65">IFERROR(__xludf.DUMMYFUNCTION("iferror(lower(regexreplace(substitute(trim(if(C65="""",""empty"",C65)),"" "",""_""),""[^A-Za-z0-9_]"","""")))"),"empty")</f>
        <v>empty</v>
      </c>
      <c r="K65" s="19" t="str">
        <f t="shared" ca="1" si="65"/>
        <v>empty</v>
      </c>
      <c r="L65" s="19" t="str">
        <f t="shared" ca="1" si="65"/>
        <v>empty</v>
      </c>
      <c r="M65" s="19" t="str">
        <f t="shared" ca="1" si="65"/>
        <v>empty</v>
      </c>
    </row>
    <row r="66" spans="1:13" ht="15.5" x14ac:dyDescent="0.35">
      <c r="A66" s="17"/>
      <c r="B66" s="19"/>
      <c r="C66" s="19"/>
      <c r="D66" s="19"/>
      <c r="E66" s="19"/>
      <c r="F66" s="19"/>
      <c r="G66" s="13" t="s">
        <v>569</v>
      </c>
      <c r="H66" s="19" t="s">
        <v>569</v>
      </c>
      <c r="I66" s="19" t="str">
        <f t="shared" ca="1" si="1"/>
        <v>http://www.mohawkgroup.com</v>
      </c>
      <c r="J66" s="19" t="str">
        <f t="shared" ref="J66:M66" ca="1" si="66">IFERROR(__xludf.DUMMYFUNCTION("iferror(lower(regexreplace(substitute(trim(if(C66="""",""empty"",C66)),"" "",""_""),""[^A-Za-z0-9_]"","""")))"),"empty")</f>
        <v>empty</v>
      </c>
      <c r="K66" s="19" t="str">
        <f t="shared" ca="1" si="66"/>
        <v>empty</v>
      </c>
      <c r="L66" s="19" t="str">
        <f t="shared" ca="1" si="66"/>
        <v>empty</v>
      </c>
      <c r="M66" s="19" t="str">
        <f t="shared" ca="1" si="66"/>
        <v>empty</v>
      </c>
    </row>
    <row r="67" spans="1:13" ht="15.5" x14ac:dyDescent="0.35">
      <c r="A67" s="17"/>
      <c r="B67" s="19"/>
      <c r="C67" s="19"/>
      <c r="D67" s="19"/>
      <c r="E67" s="19"/>
      <c r="F67" s="19"/>
      <c r="G67" s="13" t="s">
        <v>569</v>
      </c>
      <c r="H67" s="19" t="s">
        <v>569</v>
      </c>
      <c r="I67" s="19" t="str">
        <f t="shared" ca="1" si="1"/>
        <v>http://www.mohawkgroup.com</v>
      </c>
      <c r="J67" s="19" t="str">
        <f t="shared" ref="J67:M67" ca="1" si="67">IFERROR(__xludf.DUMMYFUNCTION("iferror(lower(regexreplace(substitute(trim(if(C67="""",""empty"",C67)),"" "",""_""),""[^A-Za-z0-9_]"","""")))"),"empty")</f>
        <v>empty</v>
      </c>
      <c r="K67" s="19" t="str">
        <f t="shared" ca="1" si="67"/>
        <v>empty</v>
      </c>
      <c r="L67" s="19" t="str">
        <f t="shared" ca="1" si="67"/>
        <v>empty</v>
      </c>
      <c r="M67" s="19" t="str">
        <f t="shared" ca="1" si="67"/>
        <v>empty</v>
      </c>
    </row>
    <row r="68" spans="1:13" ht="15.5" x14ac:dyDescent="0.35">
      <c r="A68" s="17"/>
      <c r="B68" s="19"/>
      <c r="C68" s="19"/>
      <c r="D68" s="19"/>
      <c r="E68" s="19"/>
      <c r="F68" s="19"/>
      <c r="G68" s="13" t="s">
        <v>569</v>
      </c>
      <c r="H68" s="19" t="s">
        <v>569</v>
      </c>
      <c r="I68" s="19" t="str">
        <f t="shared" ca="1" si="1"/>
        <v>http://www.mohawkgroup.com</v>
      </c>
      <c r="J68" s="19" t="str">
        <f t="shared" ref="J68:M68" ca="1" si="68">IFERROR(__xludf.DUMMYFUNCTION("iferror(lower(regexreplace(substitute(trim(if(C68="""",""empty"",C68)),"" "",""_""),""[^A-Za-z0-9_]"","""")))"),"empty")</f>
        <v>empty</v>
      </c>
      <c r="K68" s="19" t="str">
        <f t="shared" ca="1" si="68"/>
        <v>empty</v>
      </c>
      <c r="L68" s="19" t="str">
        <f t="shared" ca="1" si="68"/>
        <v>empty</v>
      </c>
      <c r="M68" s="19" t="str">
        <f t="shared" ca="1" si="68"/>
        <v>empty</v>
      </c>
    </row>
    <row r="69" spans="1:13" ht="15.5" x14ac:dyDescent="0.35">
      <c r="A69" s="17"/>
      <c r="B69" s="19"/>
      <c r="C69" s="19"/>
      <c r="D69" s="19"/>
      <c r="E69" s="19"/>
      <c r="F69" s="19"/>
      <c r="G69" s="13" t="s">
        <v>569</v>
      </c>
      <c r="H69" s="19" t="s">
        <v>569</v>
      </c>
      <c r="I69" s="19" t="str">
        <f t="shared" ca="1" si="1"/>
        <v>http://www.mohawkgroup.com</v>
      </c>
      <c r="J69" s="19" t="str">
        <f t="shared" ref="J69:M69" ca="1" si="69">IFERROR(__xludf.DUMMYFUNCTION("iferror(lower(regexreplace(substitute(trim(if(C69="""",""empty"",C69)),"" "",""_""),""[^A-Za-z0-9_]"","""")))"),"empty")</f>
        <v>empty</v>
      </c>
      <c r="K69" s="19" t="str">
        <f t="shared" ca="1" si="69"/>
        <v>empty</v>
      </c>
      <c r="L69" s="19" t="str">
        <f t="shared" ca="1" si="69"/>
        <v>empty</v>
      </c>
      <c r="M69" s="19" t="str">
        <f t="shared" ca="1" si="69"/>
        <v>empty</v>
      </c>
    </row>
    <row r="70" spans="1:13" ht="15.5" x14ac:dyDescent="0.35">
      <c r="A70" s="17"/>
      <c r="B70" s="19"/>
      <c r="C70" s="19"/>
      <c r="D70" s="19"/>
      <c r="E70" s="19"/>
      <c r="F70" s="19"/>
      <c r="G70" s="13" t="s">
        <v>569</v>
      </c>
      <c r="H70" s="19" t="s">
        <v>569</v>
      </c>
      <c r="I70" s="19" t="str">
        <f t="shared" ca="1" si="1"/>
        <v>http://www.mohawkgroup.com</v>
      </c>
      <c r="J70" s="19" t="str">
        <f t="shared" ref="J70:M70" ca="1" si="70">IFERROR(__xludf.DUMMYFUNCTION("iferror(lower(regexreplace(substitute(trim(if(C70="""",""empty"",C70)),"" "",""_""),""[^A-Za-z0-9_]"","""")))"),"empty")</f>
        <v>empty</v>
      </c>
      <c r="K70" s="19" t="str">
        <f t="shared" ca="1" si="70"/>
        <v>empty</v>
      </c>
      <c r="L70" s="19" t="str">
        <f t="shared" ca="1" si="70"/>
        <v>empty</v>
      </c>
      <c r="M70" s="19" t="str">
        <f t="shared" ca="1" si="70"/>
        <v>empty</v>
      </c>
    </row>
    <row r="71" spans="1:13" ht="15.5" x14ac:dyDescent="0.35">
      <c r="A71" s="17"/>
      <c r="B71" s="19"/>
      <c r="C71" s="19"/>
      <c r="D71" s="19"/>
      <c r="E71" s="19"/>
      <c r="F71" s="19"/>
      <c r="G71" s="13" t="s">
        <v>569</v>
      </c>
      <c r="H71" s="19" t="s">
        <v>569</v>
      </c>
      <c r="I71" s="19" t="str">
        <f t="shared" ca="1" si="1"/>
        <v>http://www.mohawkgroup.com</v>
      </c>
      <c r="J71" s="19" t="str">
        <f t="shared" ref="J71:M71" ca="1" si="71">IFERROR(__xludf.DUMMYFUNCTION("iferror(lower(regexreplace(substitute(trim(if(C71="""",""empty"",C71)),"" "",""_""),""[^A-Za-z0-9_]"","""")))"),"empty")</f>
        <v>empty</v>
      </c>
      <c r="K71" s="19" t="str">
        <f t="shared" ca="1" si="71"/>
        <v>empty</v>
      </c>
      <c r="L71" s="19" t="str">
        <f t="shared" ca="1" si="71"/>
        <v>empty</v>
      </c>
      <c r="M71" s="19" t="str">
        <f t="shared" ca="1" si="71"/>
        <v>empty</v>
      </c>
    </row>
    <row r="72" spans="1:13" ht="15.5" x14ac:dyDescent="0.35">
      <c r="A72" s="17"/>
      <c r="B72" s="19"/>
      <c r="C72" s="19"/>
      <c r="D72" s="19"/>
      <c r="E72" s="19"/>
      <c r="F72" s="19"/>
      <c r="G72" s="13" t="s">
        <v>569</v>
      </c>
      <c r="H72" s="19" t="s">
        <v>569</v>
      </c>
      <c r="I72" s="19" t="str">
        <f t="shared" ca="1" si="1"/>
        <v>http://www.mohawkgroup.com</v>
      </c>
      <c r="J72" s="19" t="str">
        <f t="shared" ref="J72:M72" ca="1" si="72">IFERROR(__xludf.DUMMYFUNCTION("iferror(lower(regexreplace(substitute(trim(if(C72="""",""empty"",C72)),"" "",""_""),""[^A-Za-z0-9_]"","""")))"),"empty")</f>
        <v>empty</v>
      </c>
      <c r="K72" s="19" t="str">
        <f t="shared" ca="1" si="72"/>
        <v>empty</v>
      </c>
      <c r="L72" s="19" t="str">
        <f t="shared" ca="1" si="72"/>
        <v>empty</v>
      </c>
      <c r="M72" s="19" t="str">
        <f t="shared" ca="1" si="72"/>
        <v>empty</v>
      </c>
    </row>
    <row r="73" spans="1:13" ht="15.5" x14ac:dyDescent="0.35">
      <c r="A73" s="17"/>
      <c r="B73" s="19"/>
      <c r="C73" s="19"/>
      <c r="D73" s="19"/>
      <c r="E73" s="19"/>
      <c r="F73" s="19"/>
      <c r="G73" s="13" t="s">
        <v>569</v>
      </c>
      <c r="H73" s="19" t="s">
        <v>569</v>
      </c>
      <c r="I73" s="19" t="str">
        <f t="shared" ca="1" si="1"/>
        <v>http://www.mohawkgroup.com</v>
      </c>
      <c r="J73" s="19" t="str">
        <f t="shared" ref="J73:M73" ca="1" si="73">IFERROR(__xludf.DUMMYFUNCTION("iferror(lower(regexreplace(substitute(trim(if(C73="""",""empty"",C73)),"" "",""_""),""[^A-Za-z0-9_]"","""")))"),"empty")</f>
        <v>empty</v>
      </c>
      <c r="K73" s="19" t="str">
        <f t="shared" ca="1" si="73"/>
        <v>empty</v>
      </c>
      <c r="L73" s="19" t="str">
        <f t="shared" ca="1" si="73"/>
        <v>empty</v>
      </c>
      <c r="M73" s="19" t="str">
        <f t="shared" ca="1" si="73"/>
        <v>empty</v>
      </c>
    </row>
    <row r="74" spans="1:13" ht="15.5" x14ac:dyDescent="0.35">
      <c r="A74" s="17"/>
      <c r="B74" s="19"/>
      <c r="C74" s="19"/>
      <c r="D74" s="19"/>
      <c r="E74" s="19"/>
      <c r="F74" s="19"/>
      <c r="G74" s="13" t="s">
        <v>569</v>
      </c>
      <c r="H74" s="19" t="s">
        <v>569</v>
      </c>
      <c r="I74" s="19" t="str">
        <f t="shared" ca="1" si="1"/>
        <v>http://www.mohawkgroup.com</v>
      </c>
      <c r="J74" s="19" t="str">
        <f t="shared" ref="J74:M74" ca="1" si="74">IFERROR(__xludf.DUMMYFUNCTION("iferror(lower(regexreplace(substitute(trim(if(C74="""",""empty"",C74)),"" "",""_""),""[^A-Za-z0-9_]"","""")))"),"empty")</f>
        <v>empty</v>
      </c>
      <c r="K74" s="19" t="str">
        <f t="shared" ca="1" si="74"/>
        <v>empty</v>
      </c>
      <c r="L74" s="19" t="str">
        <f t="shared" ca="1" si="74"/>
        <v>empty</v>
      </c>
      <c r="M74" s="19" t="str">
        <f t="shared" ca="1" si="74"/>
        <v>empty</v>
      </c>
    </row>
    <row r="75" spans="1:13" ht="15.5" x14ac:dyDescent="0.35">
      <c r="A75" s="17"/>
      <c r="B75" s="19"/>
      <c r="C75" s="19"/>
      <c r="D75" s="19"/>
      <c r="E75" s="19"/>
      <c r="F75" s="19"/>
      <c r="G75" s="13" t="s">
        <v>569</v>
      </c>
      <c r="H75" s="19" t="s">
        <v>569</v>
      </c>
      <c r="I75" s="19" t="str">
        <f t="shared" ca="1" si="1"/>
        <v>http://www.mohawkgroup.com</v>
      </c>
      <c r="J75" s="19" t="str">
        <f t="shared" ref="J75:M75" ca="1" si="75">IFERROR(__xludf.DUMMYFUNCTION("iferror(lower(regexreplace(substitute(trim(if(C75="""",""empty"",C75)),"" "",""_""),""[^A-Za-z0-9_]"","""")))"),"empty")</f>
        <v>empty</v>
      </c>
      <c r="K75" s="19" t="str">
        <f t="shared" ca="1" si="75"/>
        <v>empty</v>
      </c>
      <c r="L75" s="19" t="str">
        <f t="shared" ca="1" si="75"/>
        <v>empty</v>
      </c>
      <c r="M75" s="19" t="str">
        <f t="shared" ca="1" si="75"/>
        <v>empty</v>
      </c>
    </row>
    <row r="76" spans="1:13" ht="15.5" x14ac:dyDescent="0.35">
      <c r="A76" s="17"/>
      <c r="B76" s="19"/>
      <c r="C76" s="19"/>
      <c r="D76" s="19"/>
      <c r="E76" s="19"/>
      <c r="F76" s="19"/>
      <c r="G76" s="13" t="s">
        <v>569</v>
      </c>
      <c r="H76" s="19" t="s">
        <v>569</v>
      </c>
      <c r="I76" s="19" t="str">
        <f t="shared" ca="1" si="1"/>
        <v>http://www.mohawkgroup.com</v>
      </c>
      <c r="J76" s="19" t="str">
        <f t="shared" ref="J76:M76" ca="1" si="76">IFERROR(__xludf.DUMMYFUNCTION("iferror(lower(regexreplace(substitute(trim(if(C76="""",""empty"",C76)),"" "",""_""),""[^A-Za-z0-9_]"","""")))"),"empty")</f>
        <v>empty</v>
      </c>
      <c r="K76" s="19" t="str">
        <f t="shared" ca="1" si="76"/>
        <v>empty</v>
      </c>
      <c r="L76" s="19" t="str">
        <f t="shared" ca="1" si="76"/>
        <v>empty</v>
      </c>
      <c r="M76" s="19" t="str">
        <f t="shared" ca="1" si="76"/>
        <v>empty</v>
      </c>
    </row>
    <row r="77" spans="1:13" ht="15.5" x14ac:dyDescent="0.35">
      <c r="A77" s="17"/>
      <c r="B77" s="19"/>
      <c r="C77" s="19"/>
      <c r="D77" s="19"/>
      <c r="E77" s="19"/>
      <c r="F77" s="19"/>
      <c r="G77" s="13" t="s">
        <v>569</v>
      </c>
      <c r="H77" s="19" t="s">
        <v>569</v>
      </c>
      <c r="I77" s="19" t="str">
        <f t="shared" ca="1" si="1"/>
        <v>http://www.mohawkgroup.com</v>
      </c>
      <c r="J77" s="19" t="str">
        <f t="shared" ref="J77:M77" ca="1" si="77">IFERROR(__xludf.DUMMYFUNCTION("iferror(lower(regexreplace(substitute(trim(if(C77="""",""empty"",C77)),"" "",""_""),""[^A-Za-z0-9_]"","""")))"),"empty")</f>
        <v>empty</v>
      </c>
      <c r="K77" s="19" t="str">
        <f t="shared" ca="1" si="77"/>
        <v>empty</v>
      </c>
      <c r="L77" s="19" t="str">
        <f t="shared" ca="1" si="77"/>
        <v>empty</v>
      </c>
      <c r="M77" s="19" t="str">
        <f t="shared" ca="1" si="77"/>
        <v>empty</v>
      </c>
    </row>
    <row r="78" spans="1:13" ht="15.5" x14ac:dyDescent="0.35">
      <c r="A78" s="17"/>
      <c r="B78" s="19"/>
      <c r="C78" s="19"/>
      <c r="D78" s="19"/>
      <c r="E78" s="19"/>
      <c r="F78" s="19"/>
      <c r="G78" s="13" t="s">
        <v>569</v>
      </c>
      <c r="H78" s="19" t="s">
        <v>569</v>
      </c>
      <c r="I78" s="19" t="str">
        <f t="shared" ca="1" si="1"/>
        <v>http://www.mohawkgroup.com</v>
      </c>
      <c r="J78" s="19" t="str">
        <f t="shared" ref="J78:M78" ca="1" si="78">IFERROR(__xludf.DUMMYFUNCTION("iferror(lower(regexreplace(substitute(trim(if(C78="""",""empty"",C78)),"" "",""_""),""[^A-Za-z0-9_]"","""")))"),"empty")</f>
        <v>empty</v>
      </c>
      <c r="K78" s="19" t="str">
        <f t="shared" ca="1" si="78"/>
        <v>empty</v>
      </c>
      <c r="L78" s="19" t="str">
        <f t="shared" ca="1" si="78"/>
        <v>empty</v>
      </c>
      <c r="M78" s="19" t="str">
        <f t="shared" ca="1" si="78"/>
        <v>empty</v>
      </c>
    </row>
    <row r="79" spans="1:13" ht="15.5" x14ac:dyDescent="0.35">
      <c r="A79" s="17"/>
      <c r="B79" s="19"/>
      <c r="C79" s="19"/>
      <c r="D79" s="19"/>
      <c r="E79" s="19"/>
      <c r="F79" s="19"/>
      <c r="G79" s="13" t="s">
        <v>569</v>
      </c>
      <c r="H79" s="19" t="s">
        <v>569</v>
      </c>
      <c r="I79" s="19" t="str">
        <f t="shared" ca="1" si="1"/>
        <v>http://www.mohawkgroup.com</v>
      </c>
      <c r="J79" s="19" t="str">
        <f t="shared" ref="J79:M79" ca="1" si="79">IFERROR(__xludf.DUMMYFUNCTION("iferror(lower(regexreplace(substitute(trim(if(C79="""",""empty"",C79)),"" "",""_""),""[^A-Za-z0-9_]"","""")))"),"empty")</f>
        <v>empty</v>
      </c>
      <c r="K79" s="19" t="str">
        <f t="shared" ca="1" si="79"/>
        <v>empty</v>
      </c>
      <c r="L79" s="19" t="str">
        <f t="shared" ca="1" si="79"/>
        <v>empty</v>
      </c>
      <c r="M79" s="19" t="str">
        <f t="shared" ca="1" si="79"/>
        <v>empty</v>
      </c>
    </row>
    <row r="80" spans="1:13" ht="15.5" x14ac:dyDescent="0.35">
      <c r="A80" s="17"/>
      <c r="B80" s="19"/>
      <c r="C80" s="19"/>
      <c r="D80" s="19"/>
      <c r="E80" s="19"/>
      <c r="F80" s="19"/>
      <c r="G80" s="13" t="s">
        <v>569</v>
      </c>
      <c r="H80" s="19" t="s">
        <v>569</v>
      </c>
      <c r="I80" s="19" t="str">
        <f t="shared" ca="1" si="1"/>
        <v>http://www.mohawkgroup.com</v>
      </c>
      <c r="J80" s="19" t="str">
        <f t="shared" ref="J80:M80" ca="1" si="80">IFERROR(__xludf.DUMMYFUNCTION("iferror(lower(regexreplace(substitute(trim(if(C80="""",""empty"",C80)),"" "",""_""),""[^A-Za-z0-9_]"","""")))"),"empty")</f>
        <v>empty</v>
      </c>
      <c r="K80" s="19" t="str">
        <f t="shared" ca="1" si="80"/>
        <v>empty</v>
      </c>
      <c r="L80" s="19" t="str">
        <f t="shared" ca="1" si="80"/>
        <v>empty</v>
      </c>
      <c r="M80" s="19" t="str">
        <f t="shared" ca="1" si="80"/>
        <v>empty</v>
      </c>
    </row>
    <row r="81" spans="1:13" ht="15.5" x14ac:dyDescent="0.35">
      <c r="A81" s="17"/>
      <c r="B81" s="19"/>
      <c r="C81" s="19"/>
      <c r="D81" s="19"/>
      <c r="E81" s="19"/>
      <c r="F81" s="19"/>
      <c r="G81" s="13" t="s">
        <v>569</v>
      </c>
      <c r="H81" s="19" t="s">
        <v>569</v>
      </c>
      <c r="I81" s="19" t="str">
        <f t="shared" ca="1" si="1"/>
        <v>http://www.mohawkgroup.com</v>
      </c>
      <c r="J81" s="19" t="str">
        <f t="shared" ref="J81:M81" ca="1" si="81">IFERROR(__xludf.DUMMYFUNCTION("iferror(lower(regexreplace(substitute(trim(if(C81="""",""empty"",C81)),"" "",""_""),""[^A-Za-z0-9_]"","""")))"),"empty")</f>
        <v>empty</v>
      </c>
      <c r="K81" s="19" t="str">
        <f t="shared" ca="1" si="81"/>
        <v>empty</v>
      </c>
      <c r="L81" s="19" t="str">
        <f t="shared" ca="1" si="81"/>
        <v>empty</v>
      </c>
      <c r="M81" s="19" t="str">
        <f t="shared" ca="1" si="81"/>
        <v>empty</v>
      </c>
    </row>
    <row r="82" spans="1:13" ht="15.5" x14ac:dyDescent="0.35">
      <c r="A82" s="17"/>
      <c r="B82" s="19"/>
      <c r="C82" s="19"/>
      <c r="D82" s="19"/>
      <c r="E82" s="19"/>
      <c r="F82" s="19"/>
      <c r="G82" s="13" t="s">
        <v>569</v>
      </c>
      <c r="H82" s="19" t="s">
        <v>569</v>
      </c>
      <c r="I82" s="19" t="str">
        <f t="shared" ca="1" si="1"/>
        <v>http://www.mohawkgroup.com</v>
      </c>
      <c r="J82" s="19" t="str">
        <f t="shared" ref="J82:M82" ca="1" si="82">IFERROR(__xludf.DUMMYFUNCTION("iferror(lower(regexreplace(substitute(trim(if(C82="""",""empty"",C82)),"" "",""_""),""[^A-Za-z0-9_]"","""")))"),"empty")</f>
        <v>empty</v>
      </c>
      <c r="K82" s="19" t="str">
        <f t="shared" ca="1" si="82"/>
        <v>empty</v>
      </c>
      <c r="L82" s="19" t="str">
        <f t="shared" ca="1" si="82"/>
        <v>empty</v>
      </c>
      <c r="M82" s="19" t="str">
        <f t="shared" ca="1" si="82"/>
        <v>empty</v>
      </c>
    </row>
    <row r="83" spans="1:13" ht="15.5" x14ac:dyDescent="0.35">
      <c r="A83" s="17"/>
      <c r="B83" s="19"/>
      <c r="C83" s="19"/>
      <c r="D83" s="19"/>
      <c r="E83" s="19"/>
      <c r="F83" s="19"/>
      <c r="G83" s="13" t="s">
        <v>569</v>
      </c>
      <c r="H83" s="19" t="s">
        <v>569</v>
      </c>
      <c r="I83" s="19" t="str">
        <f t="shared" ca="1" si="1"/>
        <v>http://www.mohawkgroup.com</v>
      </c>
      <c r="J83" s="19" t="str">
        <f t="shared" ref="J83:M83" ca="1" si="83">IFERROR(__xludf.DUMMYFUNCTION("iferror(lower(regexreplace(substitute(trim(if(C83="""",""empty"",C83)),"" "",""_""),""[^A-Za-z0-9_]"","""")))"),"empty")</f>
        <v>empty</v>
      </c>
      <c r="K83" s="19" t="str">
        <f t="shared" ca="1" si="83"/>
        <v>empty</v>
      </c>
      <c r="L83" s="19" t="str">
        <f t="shared" ca="1" si="83"/>
        <v>empty</v>
      </c>
      <c r="M83" s="19" t="str">
        <f t="shared" ca="1" si="83"/>
        <v>empty</v>
      </c>
    </row>
    <row r="84" spans="1:13" ht="15.5" x14ac:dyDescent="0.35">
      <c r="A84" s="17"/>
      <c r="B84" s="19"/>
      <c r="C84" s="19"/>
      <c r="D84" s="19"/>
      <c r="E84" s="19"/>
      <c r="F84" s="19"/>
      <c r="G84" s="13" t="s">
        <v>569</v>
      </c>
      <c r="H84" s="19" t="s">
        <v>569</v>
      </c>
      <c r="I84" s="19" t="str">
        <f t="shared" ca="1" si="1"/>
        <v>http://www.mohawkgroup.com</v>
      </c>
      <c r="J84" s="19" t="str">
        <f t="shared" ref="J84:M84" ca="1" si="84">IFERROR(__xludf.DUMMYFUNCTION("iferror(lower(regexreplace(substitute(trim(if(C84="""",""empty"",C84)),"" "",""_""),""[^A-Za-z0-9_]"","""")))"),"empty")</f>
        <v>empty</v>
      </c>
      <c r="K84" s="19" t="str">
        <f t="shared" ca="1" si="84"/>
        <v>empty</v>
      </c>
      <c r="L84" s="19" t="str">
        <f t="shared" ca="1" si="84"/>
        <v>empty</v>
      </c>
      <c r="M84" s="19" t="str">
        <f t="shared" ca="1" si="84"/>
        <v>empty</v>
      </c>
    </row>
    <row r="85" spans="1:13" ht="15.5" x14ac:dyDescent="0.35">
      <c r="A85" s="17"/>
      <c r="B85" s="19"/>
      <c r="C85" s="19"/>
      <c r="D85" s="19"/>
      <c r="E85" s="19"/>
      <c r="F85" s="19"/>
      <c r="G85" s="13" t="s">
        <v>569</v>
      </c>
      <c r="H85" s="19" t="s">
        <v>569</v>
      </c>
      <c r="I85" s="19" t="str">
        <f t="shared" ca="1" si="1"/>
        <v>http://www.mohawkgroup.com</v>
      </c>
      <c r="J85" s="19" t="str">
        <f t="shared" ref="J85:M85" ca="1" si="85">IFERROR(__xludf.DUMMYFUNCTION("iferror(lower(regexreplace(substitute(trim(if(C85="""",""empty"",C85)),"" "",""_""),""[^A-Za-z0-9_]"","""")))"),"empty")</f>
        <v>empty</v>
      </c>
      <c r="K85" s="19" t="str">
        <f t="shared" ca="1" si="85"/>
        <v>empty</v>
      </c>
      <c r="L85" s="19" t="str">
        <f t="shared" ca="1" si="85"/>
        <v>empty</v>
      </c>
      <c r="M85" s="19" t="str">
        <f t="shared" ca="1" si="85"/>
        <v>empty</v>
      </c>
    </row>
    <row r="86" spans="1:13" ht="15.5" x14ac:dyDescent="0.35">
      <c r="A86" s="17"/>
      <c r="B86" s="19"/>
      <c r="C86" s="19"/>
      <c r="D86" s="19"/>
      <c r="E86" s="19"/>
      <c r="F86" s="19"/>
      <c r="G86" s="13" t="s">
        <v>569</v>
      </c>
      <c r="H86" s="19" t="s">
        <v>569</v>
      </c>
      <c r="I86" s="19" t="str">
        <f t="shared" ca="1" si="1"/>
        <v>http://www.mohawkgroup.com</v>
      </c>
      <c r="J86" s="19" t="str">
        <f t="shared" ref="J86:M86" ca="1" si="86">IFERROR(__xludf.DUMMYFUNCTION("iferror(lower(regexreplace(substitute(trim(if(C86="""",""empty"",C86)),"" "",""_""),""[^A-Za-z0-9_]"","""")))"),"empty")</f>
        <v>empty</v>
      </c>
      <c r="K86" s="19" t="str">
        <f t="shared" ca="1" si="86"/>
        <v>empty</v>
      </c>
      <c r="L86" s="19" t="str">
        <f t="shared" ca="1" si="86"/>
        <v>empty</v>
      </c>
      <c r="M86" s="19" t="str">
        <f t="shared" ca="1" si="86"/>
        <v>empty</v>
      </c>
    </row>
    <row r="87" spans="1:13" ht="15.5" x14ac:dyDescent="0.35">
      <c r="A87" s="17"/>
      <c r="B87" s="19"/>
      <c r="C87" s="19"/>
      <c r="D87" s="19"/>
      <c r="E87" s="19"/>
      <c r="F87" s="19"/>
      <c r="G87" s="13" t="s">
        <v>569</v>
      </c>
      <c r="H87" s="19" t="s">
        <v>569</v>
      </c>
      <c r="I87" s="19" t="str">
        <f t="shared" ca="1" si="1"/>
        <v>http://www.mohawkgroup.com</v>
      </c>
      <c r="J87" s="19" t="str">
        <f t="shared" ref="J87:M87" ca="1" si="87">IFERROR(__xludf.DUMMYFUNCTION("iferror(lower(regexreplace(substitute(trim(if(C87="""",""empty"",C87)),"" "",""_""),""[^A-Za-z0-9_]"","""")))"),"empty")</f>
        <v>empty</v>
      </c>
      <c r="K87" s="19" t="str">
        <f t="shared" ca="1" si="87"/>
        <v>empty</v>
      </c>
      <c r="L87" s="19" t="str">
        <f t="shared" ca="1" si="87"/>
        <v>empty</v>
      </c>
      <c r="M87" s="19" t="str">
        <f t="shared" ca="1" si="87"/>
        <v>empty</v>
      </c>
    </row>
    <row r="88" spans="1:13" ht="15.5" x14ac:dyDescent="0.35">
      <c r="A88" s="17"/>
      <c r="B88" s="19"/>
      <c r="C88" s="19"/>
      <c r="D88" s="19"/>
      <c r="E88" s="19"/>
      <c r="F88" s="19"/>
      <c r="G88" s="13" t="s">
        <v>569</v>
      </c>
      <c r="H88" s="19" t="s">
        <v>569</v>
      </c>
      <c r="I88" s="19" t="str">
        <f t="shared" ca="1" si="1"/>
        <v>http://www.mohawkgroup.com</v>
      </c>
      <c r="J88" s="19" t="str">
        <f t="shared" ref="J88:M88" ca="1" si="88">IFERROR(__xludf.DUMMYFUNCTION("iferror(lower(regexreplace(substitute(trim(if(C88="""",""empty"",C88)),"" "",""_""),""[^A-Za-z0-9_]"","""")))"),"empty")</f>
        <v>empty</v>
      </c>
      <c r="K88" s="19" t="str">
        <f t="shared" ca="1" si="88"/>
        <v>empty</v>
      </c>
      <c r="L88" s="19" t="str">
        <f t="shared" ca="1" si="88"/>
        <v>empty</v>
      </c>
      <c r="M88" s="19" t="str">
        <f t="shared" ca="1" si="88"/>
        <v>empty</v>
      </c>
    </row>
    <row r="89" spans="1:13" ht="15.5" x14ac:dyDescent="0.35">
      <c r="A89" s="17"/>
      <c r="B89" s="19"/>
      <c r="C89" s="19"/>
      <c r="D89" s="19"/>
      <c r="E89" s="19"/>
      <c r="F89" s="19"/>
      <c r="G89" s="13" t="s">
        <v>569</v>
      </c>
      <c r="H89" s="19" t="s">
        <v>569</v>
      </c>
      <c r="I89" s="19" t="str">
        <f t="shared" ca="1" si="1"/>
        <v>http://www.mohawkgroup.com</v>
      </c>
      <c r="J89" s="19" t="str">
        <f t="shared" ref="J89:M89" ca="1" si="89">IFERROR(__xludf.DUMMYFUNCTION("iferror(lower(regexreplace(substitute(trim(if(C89="""",""empty"",C89)),"" "",""_""),""[^A-Za-z0-9_]"","""")))"),"empty")</f>
        <v>empty</v>
      </c>
      <c r="K89" s="19" t="str">
        <f t="shared" ca="1" si="89"/>
        <v>empty</v>
      </c>
      <c r="L89" s="19" t="str">
        <f t="shared" ca="1" si="89"/>
        <v>empty</v>
      </c>
      <c r="M89" s="19" t="str">
        <f t="shared" ca="1" si="89"/>
        <v>empty</v>
      </c>
    </row>
    <row r="90" spans="1:13" ht="15.5" x14ac:dyDescent="0.35">
      <c r="A90" s="17"/>
      <c r="B90" s="19"/>
      <c r="C90" s="19"/>
      <c r="D90" s="19"/>
      <c r="E90" s="19"/>
      <c r="F90" s="19"/>
      <c r="G90" s="13" t="s">
        <v>569</v>
      </c>
      <c r="H90" s="19" t="s">
        <v>569</v>
      </c>
      <c r="I90" s="19" t="str">
        <f t="shared" ca="1" si="1"/>
        <v>http://www.mohawkgroup.com</v>
      </c>
      <c r="J90" s="19" t="str">
        <f t="shared" ref="J90:M90" ca="1" si="90">IFERROR(__xludf.DUMMYFUNCTION("iferror(lower(regexreplace(substitute(trim(if(C90="""",""empty"",C90)),"" "",""_""),""[^A-Za-z0-9_]"","""")))"),"empty")</f>
        <v>empty</v>
      </c>
      <c r="K90" s="19" t="str">
        <f t="shared" ca="1" si="90"/>
        <v>empty</v>
      </c>
      <c r="L90" s="19" t="str">
        <f t="shared" ca="1" si="90"/>
        <v>empty</v>
      </c>
      <c r="M90" s="19" t="str">
        <f t="shared" ca="1" si="90"/>
        <v>empty</v>
      </c>
    </row>
    <row r="91" spans="1:13" ht="15.5" x14ac:dyDescent="0.35">
      <c r="A91" s="17"/>
      <c r="B91" s="19"/>
      <c r="C91" s="19"/>
      <c r="D91" s="19"/>
      <c r="E91" s="19"/>
      <c r="F91" s="19"/>
      <c r="G91" s="13" t="s">
        <v>569</v>
      </c>
      <c r="H91" s="19" t="s">
        <v>569</v>
      </c>
      <c r="I91" s="19" t="str">
        <f t="shared" ca="1" si="1"/>
        <v>http://www.mohawkgroup.com</v>
      </c>
      <c r="J91" s="19" t="str">
        <f t="shared" ref="J91:M91" ca="1" si="91">IFERROR(__xludf.DUMMYFUNCTION("iferror(lower(regexreplace(substitute(trim(if(C91="""",""empty"",C91)),"" "",""_""),""[^A-Za-z0-9_]"","""")))"),"empty")</f>
        <v>empty</v>
      </c>
      <c r="K91" s="19" t="str">
        <f t="shared" ca="1" si="91"/>
        <v>empty</v>
      </c>
      <c r="L91" s="19" t="str">
        <f t="shared" ca="1" si="91"/>
        <v>empty</v>
      </c>
      <c r="M91" s="19" t="str">
        <f t="shared" ca="1" si="91"/>
        <v>empty</v>
      </c>
    </row>
    <row r="92" spans="1:13" ht="15.5" x14ac:dyDescent="0.35">
      <c r="A92" s="17"/>
      <c r="B92" s="19"/>
      <c r="C92" s="19"/>
      <c r="D92" s="19"/>
      <c r="E92" s="19"/>
      <c r="F92" s="19"/>
      <c r="G92" s="13" t="s">
        <v>569</v>
      </c>
      <c r="H92" s="19" t="s">
        <v>569</v>
      </c>
      <c r="I92" s="19" t="str">
        <f t="shared" ca="1" si="1"/>
        <v>http://www.mohawkgroup.com</v>
      </c>
      <c r="J92" s="19" t="str">
        <f t="shared" ref="J92:M92" ca="1" si="92">IFERROR(__xludf.DUMMYFUNCTION("iferror(lower(regexreplace(substitute(trim(if(C92="""",""empty"",C92)),"" "",""_""),""[^A-Za-z0-9_]"","""")))"),"empty")</f>
        <v>empty</v>
      </c>
      <c r="K92" s="19" t="str">
        <f t="shared" ca="1" si="92"/>
        <v>empty</v>
      </c>
      <c r="L92" s="19" t="str">
        <f t="shared" ca="1" si="92"/>
        <v>empty</v>
      </c>
      <c r="M92" s="19" t="str">
        <f t="shared" ca="1" si="92"/>
        <v>empty</v>
      </c>
    </row>
    <row r="93" spans="1:13" ht="15.5" x14ac:dyDescent="0.35">
      <c r="A93" s="17"/>
      <c r="B93" s="19"/>
      <c r="C93" s="19"/>
      <c r="D93" s="19"/>
      <c r="E93" s="19"/>
      <c r="F93" s="19"/>
      <c r="G93" s="13" t="s">
        <v>569</v>
      </c>
      <c r="H93" s="19" t="s">
        <v>569</v>
      </c>
      <c r="I93" s="19" t="str">
        <f t="shared" ca="1" si="1"/>
        <v>http://www.mohawkgroup.com</v>
      </c>
      <c r="J93" s="19" t="str">
        <f t="shared" ref="J93:M93" ca="1" si="93">IFERROR(__xludf.DUMMYFUNCTION("iferror(lower(regexreplace(substitute(trim(if(C93="""",""empty"",C93)),"" "",""_""),""[^A-Za-z0-9_]"","""")))"),"empty")</f>
        <v>empty</v>
      </c>
      <c r="K93" s="19" t="str">
        <f t="shared" ca="1" si="93"/>
        <v>empty</v>
      </c>
      <c r="L93" s="19" t="str">
        <f t="shared" ca="1" si="93"/>
        <v>empty</v>
      </c>
      <c r="M93" s="19" t="str">
        <f t="shared" ca="1" si="93"/>
        <v>empty</v>
      </c>
    </row>
    <row r="94" spans="1:13" ht="15.5" x14ac:dyDescent="0.35">
      <c r="A94" s="17"/>
      <c r="B94" s="19"/>
      <c r="C94" s="19"/>
      <c r="D94" s="19"/>
      <c r="E94" s="19"/>
      <c r="F94" s="19"/>
      <c r="G94" s="13" t="s">
        <v>569</v>
      </c>
      <c r="H94" s="19" t="s">
        <v>569</v>
      </c>
      <c r="I94" s="19" t="str">
        <f t="shared" ca="1" si="1"/>
        <v>http://www.mohawkgroup.com</v>
      </c>
      <c r="J94" s="19" t="str">
        <f t="shared" ref="J94:M94" ca="1" si="94">IFERROR(__xludf.DUMMYFUNCTION("iferror(lower(regexreplace(substitute(trim(if(C94="""",""empty"",C94)),"" "",""_""),""[^A-Za-z0-9_]"","""")))"),"empty")</f>
        <v>empty</v>
      </c>
      <c r="K94" s="19" t="str">
        <f t="shared" ca="1" si="94"/>
        <v>empty</v>
      </c>
      <c r="L94" s="19" t="str">
        <f t="shared" ca="1" si="94"/>
        <v>empty</v>
      </c>
      <c r="M94" s="19" t="str">
        <f t="shared" ca="1" si="94"/>
        <v>empty</v>
      </c>
    </row>
    <row r="95" spans="1:13" ht="15.5" x14ac:dyDescent="0.35">
      <c r="A95" s="17"/>
      <c r="B95" s="19"/>
      <c r="C95" s="19"/>
      <c r="D95" s="19"/>
      <c r="E95" s="19"/>
      <c r="F95" s="19"/>
      <c r="G95" s="13" t="s">
        <v>569</v>
      </c>
      <c r="H95" s="19" t="s">
        <v>569</v>
      </c>
      <c r="I95" s="19" t="str">
        <f t="shared" ca="1" si="1"/>
        <v>http://www.mohawkgroup.com</v>
      </c>
      <c r="J95" s="19" t="str">
        <f t="shared" ref="J95:M95" ca="1" si="95">IFERROR(__xludf.DUMMYFUNCTION("iferror(lower(regexreplace(substitute(trim(if(C95="""",""empty"",C95)),"" "",""_""),""[^A-Za-z0-9_]"","""")))"),"empty")</f>
        <v>empty</v>
      </c>
      <c r="K95" s="19" t="str">
        <f t="shared" ca="1" si="95"/>
        <v>empty</v>
      </c>
      <c r="L95" s="19" t="str">
        <f t="shared" ca="1" si="95"/>
        <v>empty</v>
      </c>
      <c r="M95" s="19" t="str">
        <f t="shared" ca="1" si="95"/>
        <v>empty</v>
      </c>
    </row>
    <row r="96" spans="1:13" ht="15.5" x14ac:dyDescent="0.35">
      <c r="A96" s="17"/>
      <c r="B96" s="19"/>
      <c r="C96" s="19"/>
      <c r="D96" s="19"/>
      <c r="E96" s="19"/>
      <c r="F96" s="19"/>
      <c r="G96" s="13" t="s">
        <v>569</v>
      </c>
      <c r="H96" s="19" t="s">
        <v>569</v>
      </c>
      <c r="I96" s="19" t="str">
        <f t="shared" ca="1" si="1"/>
        <v>http://www.mohawkgroup.com</v>
      </c>
      <c r="J96" s="19" t="str">
        <f t="shared" ref="J96:M96" ca="1" si="96">IFERROR(__xludf.DUMMYFUNCTION("iferror(lower(regexreplace(substitute(trim(if(C96="""",""empty"",C96)),"" "",""_""),""[^A-Za-z0-9_]"","""")))"),"empty")</f>
        <v>empty</v>
      </c>
      <c r="K96" s="19" t="str">
        <f t="shared" ca="1" si="96"/>
        <v>empty</v>
      </c>
      <c r="L96" s="19" t="str">
        <f t="shared" ca="1" si="96"/>
        <v>empty</v>
      </c>
      <c r="M96" s="19" t="str">
        <f t="shared" ca="1" si="96"/>
        <v>empty</v>
      </c>
    </row>
    <row r="97" spans="1:13" ht="15.5" x14ac:dyDescent="0.35">
      <c r="A97" s="17"/>
      <c r="B97" s="19"/>
      <c r="C97" s="19"/>
      <c r="D97" s="19"/>
      <c r="E97" s="19"/>
      <c r="F97" s="19"/>
      <c r="G97" s="13" t="s">
        <v>569</v>
      </c>
      <c r="H97" s="19" t="s">
        <v>569</v>
      </c>
      <c r="I97" s="19" t="str">
        <f t="shared" ca="1" si="1"/>
        <v>http://www.mohawkgroup.com</v>
      </c>
      <c r="J97" s="19" t="str">
        <f t="shared" ref="J97:M97" ca="1" si="97">IFERROR(__xludf.DUMMYFUNCTION("iferror(lower(regexreplace(substitute(trim(if(C97="""",""empty"",C97)),"" "",""_""),""[^A-Za-z0-9_]"","""")))"),"empty")</f>
        <v>empty</v>
      </c>
      <c r="K97" s="19" t="str">
        <f t="shared" ca="1" si="97"/>
        <v>empty</v>
      </c>
      <c r="L97" s="19" t="str">
        <f t="shared" ca="1" si="97"/>
        <v>empty</v>
      </c>
      <c r="M97" s="19" t="str">
        <f t="shared" ca="1" si="97"/>
        <v>empty</v>
      </c>
    </row>
    <row r="98" spans="1:13" ht="15.5" x14ac:dyDescent="0.35">
      <c r="A98" s="17"/>
      <c r="B98" s="19"/>
      <c r="C98" s="19"/>
      <c r="D98" s="19"/>
      <c r="E98" s="19"/>
      <c r="F98" s="19"/>
      <c r="G98" s="13" t="s">
        <v>569</v>
      </c>
      <c r="H98" s="19" t="s">
        <v>569</v>
      </c>
      <c r="I98" s="19" t="str">
        <f t="shared" ca="1" si="1"/>
        <v>http://www.mohawkgroup.com</v>
      </c>
      <c r="J98" s="19" t="str">
        <f t="shared" ref="J98:M98" ca="1" si="98">IFERROR(__xludf.DUMMYFUNCTION("iferror(lower(regexreplace(substitute(trim(if(C98="""",""empty"",C98)),"" "",""_""),""[^A-Za-z0-9_]"","""")))"),"empty")</f>
        <v>empty</v>
      </c>
      <c r="K98" s="19" t="str">
        <f t="shared" ca="1" si="98"/>
        <v>empty</v>
      </c>
      <c r="L98" s="19" t="str">
        <f t="shared" ca="1" si="98"/>
        <v>empty</v>
      </c>
      <c r="M98" s="19" t="str">
        <f t="shared" ca="1" si="98"/>
        <v>empty</v>
      </c>
    </row>
    <row r="99" spans="1:13" ht="15.5" x14ac:dyDescent="0.35">
      <c r="A99" s="17"/>
      <c r="B99" s="19"/>
      <c r="C99" s="19"/>
      <c r="D99" s="19"/>
      <c r="E99" s="19"/>
      <c r="F99" s="19"/>
      <c r="G99" s="13" t="s">
        <v>569</v>
      </c>
      <c r="H99" s="19" t="s">
        <v>569</v>
      </c>
      <c r="I99" s="19" t="str">
        <f t="shared" ca="1" si="1"/>
        <v>http://www.mohawkgroup.com</v>
      </c>
      <c r="J99" s="19" t="str">
        <f t="shared" ref="J99:M99" ca="1" si="99">IFERROR(__xludf.DUMMYFUNCTION("iferror(lower(regexreplace(substitute(trim(if(C99="""",""empty"",C99)),"" "",""_""),""[^A-Za-z0-9_]"","""")))"),"empty")</f>
        <v>empty</v>
      </c>
      <c r="K99" s="19" t="str">
        <f t="shared" ca="1" si="99"/>
        <v>empty</v>
      </c>
      <c r="L99" s="19" t="str">
        <f t="shared" ca="1" si="99"/>
        <v>empty</v>
      </c>
      <c r="M99" s="19" t="str">
        <f t="shared" ca="1" si="99"/>
        <v>empty</v>
      </c>
    </row>
    <row r="100" spans="1:13" ht="15.5" x14ac:dyDescent="0.35">
      <c r="A100" s="17"/>
      <c r="B100" s="19"/>
      <c r="C100" s="19"/>
      <c r="D100" s="19"/>
      <c r="E100" s="19"/>
      <c r="F100" s="19"/>
      <c r="G100" s="13" t="s">
        <v>569</v>
      </c>
      <c r="H100" s="19" t="s">
        <v>569</v>
      </c>
      <c r="I100" s="19" t="str">
        <f t="shared" ca="1" si="1"/>
        <v>http://www.mohawkgroup.com</v>
      </c>
      <c r="J100" s="19" t="str">
        <f t="shared" ref="J100:M100" ca="1" si="100">IFERROR(__xludf.DUMMYFUNCTION("iferror(lower(regexreplace(substitute(trim(if(C100="""",""empty"",C100)),"" "",""_""),""[^A-Za-z0-9_]"","""")))"),"empty")</f>
        <v>empty</v>
      </c>
      <c r="K100" s="19" t="str">
        <f t="shared" ca="1" si="100"/>
        <v>empty</v>
      </c>
      <c r="L100" s="19" t="str">
        <f t="shared" ca="1" si="100"/>
        <v>empty</v>
      </c>
      <c r="M100" s="19" t="str">
        <f t="shared" ca="1" si="100"/>
        <v>empty</v>
      </c>
    </row>
    <row r="101" spans="1:13" ht="15.5" x14ac:dyDescent="0.35">
      <c r="A101" s="17"/>
      <c r="B101" s="19"/>
      <c r="C101" s="19"/>
      <c r="D101" s="19"/>
      <c r="E101" s="19"/>
      <c r="F101" s="19"/>
      <c r="G101" s="13" t="s">
        <v>569</v>
      </c>
      <c r="H101" s="19" t="s">
        <v>569</v>
      </c>
      <c r="I101" s="19" t="str">
        <f t="shared" ca="1" si="1"/>
        <v>http://www.mohawkgroup.com</v>
      </c>
      <c r="J101" s="19" t="str">
        <f t="shared" ref="J101:M101" ca="1" si="101">IFERROR(__xludf.DUMMYFUNCTION("iferror(lower(regexreplace(substitute(trim(if(C101="""",""empty"",C101)),"" "",""_""),""[^A-Za-z0-9_]"","""")))"),"empty")</f>
        <v>empty</v>
      </c>
      <c r="K101" s="19" t="str">
        <f t="shared" ca="1" si="101"/>
        <v>empty</v>
      </c>
      <c r="L101" s="19" t="str">
        <f t="shared" ca="1" si="101"/>
        <v>empty</v>
      </c>
      <c r="M101" s="19" t="str">
        <f t="shared" ca="1" si="101"/>
        <v>empty</v>
      </c>
    </row>
    <row r="102" spans="1:13" ht="15.5" x14ac:dyDescent="0.35">
      <c r="A102" s="17"/>
      <c r="B102" s="19"/>
      <c r="C102" s="19"/>
      <c r="D102" s="19"/>
      <c r="E102" s="19"/>
      <c r="F102" s="19"/>
      <c r="G102" s="13" t="s">
        <v>569</v>
      </c>
      <c r="H102" s="19" t="s">
        <v>569</v>
      </c>
      <c r="I102" s="19" t="str">
        <f t="shared" ca="1" si="1"/>
        <v>http://www.mohawkgroup.com</v>
      </c>
      <c r="J102" s="19" t="str">
        <f t="shared" ref="J102:M102" ca="1" si="102">IFERROR(__xludf.DUMMYFUNCTION("iferror(lower(regexreplace(substitute(trim(if(C102="""",""empty"",C102)),"" "",""_""),""[^A-Za-z0-9_]"","""")))"),"empty")</f>
        <v>empty</v>
      </c>
      <c r="K102" s="19" t="str">
        <f t="shared" ca="1" si="102"/>
        <v>empty</v>
      </c>
      <c r="L102" s="19" t="str">
        <f t="shared" ca="1" si="102"/>
        <v>empty</v>
      </c>
      <c r="M102" s="19" t="str">
        <f t="shared" ca="1" si="102"/>
        <v>empty</v>
      </c>
    </row>
    <row r="103" spans="1:13" ht="15.5" x14ac:dyDescent="0.35">
      <c r="A103" s="17"/>
      <c r="B103" s="19"/>
      <c r="C103" s="19"/>
      <c r="D103" s="19"/>
      <c r="E103" s="19"/>
      <c r="F103" s="19"/>
      <c r="G103" s="13" t="s">
        <v>569</v>
      </c>
      <c r="H103" s="19" t="s">
        <v>569</v>
      </c>
      <c r="I103" s="19" t="str">
        <f t="shared" ca="1" si="1"/>
        <v>http://www.mohawkgroup.com</v>
      </c>
      <c r="J103" s="19" t="str">
        <f t="shared" ref="J103:M103" ca="1" si="103">IFERROR(__xludf.DUMMYFUNCTION("iferror(lower(regexreplace(substitute(trim(if(C103="""",""empty"",C103)),"" "",""_""),""[^A-Za-z0-9_]"","""")))"),"empty")</f>
        <v>empty</v>
      </c>
      <c r="K103" s="19" t="str">
        <f t="shared" ca="1" si="103"/>
        <v>empty</v>
      </c>
      <c r="L103" s="19" t="str">
        <f t="shared" ca="1" si="103"/>
        <v>empty</v>
      </c>
      <c r="M103" s="19" t="str">
        <f t="shared" ca="1" si="103"/>
        <v>empty</v>
      </c>
    </row>
    <row r="104" spans="1:13" ht="15.5" x14ac:dyDescent="0.35">
      <c r="A104" s="17"/>
      <c r="B104" s="19"/>
      <c r="C104" s="19"/>
      <c r="D104" s="19"/>
      <c r="E104" s="19"/>
      <c r="F104" s="19"/>
      <c r="G104" s="13" t="s">
        <v>569</v>
      </c>
      <c r="H104" s="19" t="s">
        <v>569</v>
      </c>
      <c r="I104" s="19" t="str">
        <f t="shared" ca="1" si="1"/>
        <v>http://www.mohawkgroup.com</v>
      </c>
      <c r="J104" s="19" t="str">
        <f t="shared" ref="J104:M104" ca="1" si="104">IFERROR(__xludf.DUMMYFUNCTION("iferror(lower(regexreplace(substitute(trim(if(C104="""",""empty"",C104)),"" "",""_""),""[^A-Za-z0-9_]"","""")))"),"empty")</f>
        <v>empty</v>
      </c>
      <c r="K104" s="19" t="str">
        <f t="shared" ca="1" si="104"/>
        <v>empty</v>
      </c>
      <c r="L104" s="19" t="str">
        <f t="shared" ca="1" si="104"/>
        <v>empty</v>
      </c>
      <c r="M104" s="19" t="str">
        <f t="shared" ca="1" si="104"/>
        <v>empty</v>
      </c>
    </row>
    <row r="105" spans="1:13" ht="15.5" x14ac:dyDescent="0.35">
      <c r="A105" s="17"/>
      <c r="B105" s="19"/>
      <c r="C105" s="19"/>
      <c r="D105" s="19"/>
      <c r="E105" s="19"/>
      <c r="F105" s="19"/>
      <c r="G105" s="13" t="s">
        <v>569</v>
      </c>
      <c r="H105" s="19" t="s">
        <v>569</v>
      </c>
      <c r="I105" s="19" t="str">
        <f t="shared" ca="1" si="1"/>
        <v>http://www.mohawkgroup.com</v>
      </c>
      <c r="J105" s="19" t="str">
        <f t="shared" ref="J105:M105" ca="1" si="105">IFERROR(__xludf.DUMMYFUNCTION("iferror(lower(regexreplace(substitute(trim(if(C105="""",""empty"",C105)),"" "",""_""),""[^A-Za-z0-9_]"","""")))"),"empty")</f>
        <v>empty</v>
      </c>
      <c r="K105" s="19" t="str">
        <f t="shared" ca="1" si="105"/>
        <v>empty</v>
      </c>
      <c r="L105" s="19" t="str">
        <f t="shared" ca="1" si="105"/>
        <v>empty</v>
      </c>
      <c r="M105" s="19" t="str">
        <f t="shared" ca="1" si="105"/>
        <v>empty</v>
      </c>
    </row>
    <row r="106" spans="1:13" ht="15.5" x14ac:dyDescent="0.35">
      <c r="A106" s="17"/>
      <c r="B106" s="19"/>
      <c r="C106" s="19"/>
      <c r="D106" s="19"/>
      <c r="E106" s="19"/>
      <c r="F106" s="19"/>
      <c r="G106" s="13" t="s">
        <v>569</v>
      </c>
      <c r="H106" s="19" t="s">
        <v>569</v>
      </c>
      <c r="I106" s="19" t="str">
        <f t="shared" ca="1" si="1"/>
        <v>http://www.mohawkgroup.com</v>
      </c>
      <c r="J106" s="19" t="str">
        <f t="shared" ref="J106:M106" ca="1" si="106">IFERROR(__xludf.DUMMYFUNCTION("iferror(lower(regexreplace(substitute(trim(if(C106="""",""empty"",C106)),"" "",""_""),""[^A-Za-z0-9_]"","""")))"),"empty")</f>
        <v>empty</v>
      </c>
      <c r="K106" s="19" t="str">
        <f t="shared" ca="1" si="106"/>
        <v>empty</v>
      </c>
      <c r="L106" s="19" t="str">
        <f t="shared" ca="1" si="106"/>
        <v>empty</v>
      </c>
      <c r="M106" s="19" t="str">
        <f t="shared" ca="1" si="106"/>
        <v>empty</v>
      </c>
    </row>
    <row r="107" spans="1:13" ht="15.5" x14ac:dyDescent="0.35">
      <c r="A107" s="17"/>
      <c r="B107" s="19"/>
      <c r="C107" s="19"/>
      <c r="D107" s="19"/>
      <c r="E107" s="19"/>
      <c r="F107" s="19"/>
      <c r="G107" s="13" t="s">
        <v>569</v>
      </c>
      <c r="H107" s="19" t="s">
        <v>569</v>
      </c>
      <c r="I107" s="19" t="str">
        <f t="shared" ca="1" si="1"/>
        <v>http://www.mohawkgroup.com</v>
      </c>
      <c r="J107" s="19" t="str">
        <f t="shared" ref="J107:M107" ca="1" si="107">IFERROR(__xludf.DUMMYFUNCTION("iferror(lower(regexreplace(substitute(trim(if(C107="""",""empty"",C107)),"" "",""_""),""[^A-Za-z0-9_]"","""")))"),"empty")</f>
        <v>empty</v>
      </c>
      <c r="K107" s="19" t="str">
        <f t="shared" ca="1" si="107"/>
        <v>empty</v>
      </c>
      <c r="L107" s="19" t="str">
        <f t="shared" ca="1" si="107"/>
        <v>empty</v>
      </c>
      <c r="M107" s="19" t="str">
        <f t="shared" ca="1" si="107"/>
        <v>empty</v>
      </c>
    </row>
    <row r="108" spans="1:13" ht="15.5" x14ac:dyDescent="0.35">
      <c r="A108" s="17"/>
      <c r="B108" s="19"/>
      <c r="C108" s="19"/>
      <c r="D108" s="19"/>
      <c r="E108" s="19"/>
      <c r="F108" s="19"/>
      <c r="G108" s="13" t="s">
        <v>569</v>
      </c>
      <c r="H108" s="19" t="s">
        <v>569</v>
      </c>
      <c r="I108" s="19" t="str">
        <f t="shared" ca="1" si="1"/>
        <v>http://www.mohawkgroup.com</v>
      </c>
      <c r="J108" s="19" t="str">
        <f t="shared" ref="J108:M108" ca="1" si="108">IFERROR(__xludf.DUMMYFUNCTION("iferror(lower(regexreplace(substitute(trim(if(C108="""",""empty"",C108)),"" "",""_""),""[^A-Za-z0-9_]"","""")))"),"empty")</f>
        <v>empty</v>
      </c>
      <c r="K108" s="19" t="str">
        <f t="shared" ca="1" si="108"/>
        <v>empty</v>
      </c>
      <c r="L108" s="19" t="str">
        <f t="shared" ca="1" si="108"/>
        <v>empty</v>
      </c>
      <c r="M108" s="19" t="str">
        <f t="shared" ca="1" si="108"/>
        <v>empty</v>
      </c>
    </row>
    <row r="109" spans="1:13" ht="15.5" x14ac:dyDescent="0.35">
      <c r="A109" s="17"/>
      <c r="B109" s="19"/>
      <c r="C109" s="19"/>
      <c r="D109" s="19"/>
      <c r="E109" s="19"/>
      <c r="F109" s="19"/>
      <c r="G109" s="13" t="s">
        <v>569</v>
      </c>
      <c r="H109" s="19" t="s">
        <v>569</v>
      </c>
      <c r="I109" s="19" t="str">
        <f t="shared" ca="1" si="1"/>
        <v>http://www.mohawkgroup.com</v>
      </c>
      <c r="J109" s="19" t="str">
        <f t="shared" ref="J109:M109" ca="1" si="109">IFERROR(__xludf.DUMMYFUNCTION("iferror(lower(regexreplace(substitute(trim(if(C109="""",""empty"",C109)),"" "",""_""),""[^A-Za-z0-9_]"","""")))"),"empty")</f>
        <v>empty</v>
      </c>
      <c r="K109" s="19" t="str">
        <f t="shared" ca="1" si="109"/>
        <v>empty</v>
      </c>
      <c r="L109" s="19" t="str">
        <f t="shared" ca="1" si="109"/>
        <v>empty</v>
      </c>
      <c r="M109" s="19" t="str">
        <f t="shared" ca="1" si="109"/>
        <v>empty</v>
      </c>
    </row>
    <row r="110" spans="1:13" ht="15.5" x14ac:dyDescent="0.35">
      <c r="A110" s="17"/>
      <c r="B110" s="19"/>
      <c r="C110" s="19"/>
      <c r="D110" s="19"/>
      <c r="E110" s="19"/>
      <c r="F110" s="19"/>
      <c r="G110" s="13" t="s">
        <v>569</v>
      </c>
      <c r="H110" s="19" t="s">
        <v>569</v>
      </c>
      <c r="I110" s="19" t="str">
        <f t="shared" ca="1" si="1"/>
        <v>http://www.mohawkgroup.com</v>
      </c>
      <c r="J110" s="19" t="str">
        <f t="shared" ref="J110:M110" ca="1" si="110">IFERROR(__xludf.DUMMYFUNCTION("iferror(lower(regexreplace(substitute(trim(if(C110="""",""empty"",C110)),"" "",""_""),""[^A-Za-z0-9_]"","""")))"),"empty")</f>
        <v>empty</v>
      </c>
      <c r="K110" s="19" t="str">
        <f t="shared" ca="1" si="110"/>
        <v>empty</v>
      </c>
      <c r="L110" s="19" t="str">
        <f t="shared" ca="1" si="110"/>
        <v>empty</v>
      </c>
      <c r="M110" s="19" t="str">
        <f t="shared" ca="1" si="110"/>
        <v>empty</v>
      </c>
    </row>
    <row r="111" spans="1:13" ht="15.5" x14ac:dyDescent="0.35">
      <c r="A111" s="17"/>
      <c r="B111" s="19"/>
      <c r="C111" s="19"/>
      <c r="D111" s="19"/>
      <c r="E111" s="19"/>
      <c r="F111" s="19"/>
      <c r="G111" s="13" t="s">
        <v>569</v>
      </c>
      <c r="H111" s="19" t="s">
        <v>569</v>
      </c>
      <c r="I111" s="19" t="str">
        <f t="shared" ca="1" si="1"/>
        <v>http://www.mohawkgroup.com</v>
      </c>
      <c r="J111" s="19" t="str">
        <f t="shared" ref="J111:M111" ca="1" si="111">IFERROR(__xludf.DUMMYFUNCTION("iferror(lower(regexreplace(substitute(trim(if(C111="""",""empty"",C111)),"" "",""_""),""[^A-Za-z0-9_]"","""")))"),"empty")</f>
        <v>empty</v>
      </c>
      <c r="K111" s="19" t="str">
        <f t="shared" ca="1" si="111"/>
        <v>empty</v>
      </c>
      <c r="L111" s="19" t="str">
        <f t="shared" ca="1" si="111"/>
        <v>empty</v>
      </c>
      <c r="M111" s="19" t="str">
        <f t="shared" ca="1" si="111"/>
        <v>empty</v>
      </c>
    </row>
    <row r="112" spans="1:13" ht="15.5" x14ac:dyDescent="0.35">
      <c r="A112" s="17"/>
      <c r="B112" s="19"/>
      <c r="C112" s="19"/>
      <c r="D112" s="19"/>
      <c r="E112" s="19"/>
      <c r="F112" s="19"/>
      <c r="G112" s="13" t="s">
        <v>569</v>
      </c>
      <c r="H112" s="19" t="s">
        <v>569</v>
      </c>
      <c r="I112" s="19" t="str">
        <f t="shared" ca="1" si="1"/>
        <v>http://www.mohawkgroup.com</v>
      </c>
      <c r="J112" s="19" t="str">
        <f t="shared" ref="J112:M112" ca="1" si="112">IFERROR(__xludf.DUMMYFUNCTION("iferror(lower(regexreplace(substitute(trim(if(C112="""",""empty"",C112)),"" "",""_""),""[^A-Za-z0-9_]"","""")))"),"empty")</f>
        <v>empty</v>
      </c>
      <c r="K112" s="19" t="str">
        <f t="shared" ca="1" si="112"/>
        <v>empty</v>
      </c>
      <c r="L112" s="19" t="str">
        <f t="shared" ca="1" si="112"/>
        <v>empty</v>
      </c>
      <c r="M112" s="19" t="str">
        <f t="shared" ca="1" si="112"/>
        <v>empty</v>
      </c>
    </row>
    <row r="113" spans="1:13" ht="15.5" x14ac:dyDescent="0.35">
      <c r="A113" s="17"/>
      <c r="B113" s="19"/>
      <c r="C113" s="19"/>
      <c r="D113" s="19"/>
      <c r="E113" s="19"/>
      <c r="F113" s="19"/>
      <c r="G113" s="13" t="s">
        <v>569</v>
      </c>
      <c r="H113" s="19" t="s">
        <v>569</v>
      </c>
      <c r="I113" s="19" t="str">
        <f t="shared" ca="1" si="1"/>
        <v>http://www.mohawkgroup.com</v>
      </c>
      <c r="J113" s="19" t="str">
        <f t="shared" ref="J113:M113" ca="1" si="113">IFERROR(__xludf.DUMMYFUNCTION("iferror(lower(regexreplace(substitute(trim(if(C113="""",""empty"",C113)),"" "",""_""),""[^A-Za-z0-9_]"","""")))"),"empty")</f>
        <v>empty</v>
      </c>
      <c r="K113" s="19" t="str">
        <f t="shared" ca="1" si="113"/>
        <v>empty</v>
      </c>
      <c r="L113" s="19" t="str">
        <f t="shared" ca="1" si="113"/>
        <v>empty</v>
      </c>
      <c r="M113" s="19" t="str">
        <f t="shared" ca="1" si="113"/>
        <v>empty</v>
      </c>
    </row>
    <row r="114" spans="1:13" ht="15.5" x14ac:dyDescent="0.35">
      <c r="A114" s="17"/>
      <c r="B114" s="19"/>
      <c r="C114" s="19"/>
      <c r="D114" s="19"/>
      <c r="E114" s="19"/>
      <c r="F114" s="19"/>
      <c r="G114" s="13" t="s">
        <v>569</v>
      </c>
      <c r="H114" s="19" t="s">
        <v>569</v>
      </c>
      <c r="I114" s="19" t="str">
        <f t="shared" ca="1" si="1"/>
        <v>http://www.mohawkgroup.com</v>
      </c>
      <c r="J114" s="19" t="str">
        <f t="shared" ref="J114:M114" ca="1" si="114">IFERROR(__xludf.DUMMYFUNCTION("iferror(lower(regexreplace(substitute(trim(if(C114="""",""empty"",C114)),"" "",""_""),""[^A-Za-z0-9_]"","""")))"),"empty")</f>
        <v>empty</v>
      </c>
      <c r="K114" s="19" t="str">
        <f t="shared" ca="1" si="114"/>
        <v>empty</v>
      </c>
      <c r="L114" s="19" t="str">
        <f t="shared" ca="1" si="114"/>
        <v>empty</v>
      </c>
      <c r="M114" s="19" t="str">
        <f t="shared" ca="1" si="114"/>
        <v>empty</v>
      </c>
    </row>
    <row r="115" spans="1:13" ht="15.5" x14ac:dyDescent="0.35">
      <c r="A115" s="17"/>
      <c r="B115" s="19"/>
      <c r="C115" s="19"/>
      <c r="D115" s="19"/>
      <c r="E115" s="19"/>
      <c r="F115" s="19"/>
      <c r="G115" s="13" t="s">
        <v>569</v>
      </c>
      <c r="H115" s="19" t="s">
        <v>569</v>
      </c>
      <c r="I115" s="19" t="str">
        <f t="shared" ca="1" si="1"/>
        <v>http://www.mohawkgroup.com</v>
      </c>
      <c r="J115" s="19" t="str">
        <f t="shared" ref="J115:M115" ca="1" si="115">IFERROR(__xludf.DUMMYFUNCTION("iferror(lower(regexreplace(substitute(trim(if(C115="""",""empty"",C115)),"" "",""_""),""[^A-Za-z0-9_]"","""")))"),"empty")</f>
        <v>empty</v>
      </c>
      <c r="K115" s="19" t="str">
        <f t="shared" ca="1" si="115"/>
        <v>empty</v>
      </c>
      <c r="L115" s="19" t="str">
        <f t="shared" ca="1" si="115"/>
        <v>empty</v>
      </c>
      <c r="M115" s="19" t="str">
        <f t="shared" ca="1" si="115"/>
        <v>empty</v>
      </c>
    </row>
    <row r="116" spans="1:13" ht="15.5" x14ac:dyDescent="0.35">
      <c r="A116" s="17"/>
      <c r="B116" s="19"/>
      <c r="C116" s="19"/>
      <c r="D116" s="19"/>
      <c r="E116" s="19"/>
      <c r="F116" s="19"/>
      <c r="G116" s="13" t="s">
        <v>569</v>
      </c>
      <c r="H116" s="19" t="s">
        <v>569</v>
      </c>
      <c r="I116" s="19" t="str">
        <f t="shared" ca="1" si="1"/>
        <v>http://www.mohawkgroup.com</v>
      </c>
      <c r="J116" s="19" t="str">
        <f t="shared" ref="J116:M116" ca="1" si="116">IFERROR(__xludf.DUMMYFUNCTION("iferror(lower(regexreplace(substitute(trim(if(C116="""",""empty"",C116)),"" "",""_""),""[^A-Za-z0-9_]"","""")))"),"empty")</f>
        <v>empty</v>
      </c>
      <c r="K116" s="19" t="str">
        <f t="shared" ca="1" si="116"/>
        <v>empty</v>
      </c>
      <c r="L116" s="19" t="str">
        <f t="shared" ca="1" si="116"/>
        <v>empty</v>
      </c>
      <c r="M116" s="19" t="str">
        <f t="shared" ca="1" si="116"/>
        <v>empty</v>
      </c>
    </row>
    <row r="117" spans="1:13" ht="15.5" x14ac:dyDescent="0.35">
      <c r="A117" s="17"/>
      <c r="B117" s="19"/>
      <c r="C117" s="19"/>
      <c r="D117" s="19"/>
      <c r="E117" s="19"/>
      <c r="F117" s="19"/>
      <c r="G117" s="13" t="s">
        <v>569</v>
      </c>
      <c r="H117" s="19" t="s">
        <v>569</v>
      </c>
      <c r="I117" s="19" t="str">
        <f t="shared" ca="1" si="1"/>
        <v>http://www.mohawkgroup.com</v>
      </c>
      <c r="J117" s="19" t="str">
        <f t="shared" ref="J117:M117" ca="1" si="117">IFERROR(__xludf.DUMMYFUNCTION("iferror(lower(regexreplace(substitute(trim(if(C117="""",""empty"",C117)),"" "",""_""),""[^A-Za-z0-9_]"","""")))"),"empty")</f>
        <v>empty</v>
      </c>
      <c r="K117" s="19" t="str">
        <f t="shared" ca="1" si="117"/>
        <v>empty</v>
      </c>
      <c r="L117" s="19" t="str">
        <f t="shared" ca="1" si="117"/>
        <v>empty</v>
      </c>
      <c r="M117" s="19" t="str">
        <f t="shared" ca="1" si="117"/>
        <v>empty</v>
      </c>
    </row>
    <row r="118" spans="1:13" ht="15.5" x14ac:dyDescent="0.35">
      <c r="A118" s="17"/>
      <c r="B118" s="19"/>
      <c r="C118" s="19"/>
      <c r="D118" s="19"/>
      <c r="E118" s="19"/>
      <c r="F118" s="19"/>
      <c r="G118" s="13" t="s">
        <v>569</v>
      </c>
      <c r="H118" s="19" t="s">
        <v>569</v>
      </c>
      <c r="I118" s="19" t="str">
        <f t="shared" ca="1" si="1"/>
        <v>http://www.mohawkgroup.com</v>
      </c>
      <c r="J118" s="19" t="str">
        <f t="shared" ref="J118:M118" ca="1" si="118">IFERROR(__xludf.DUMMYFUNCTION("iferror(lower(regexreplace(substitute(trim(if(C118="""",""empty"",C118)),"" "",""_""),""[^A-Za-z0-9_]"","""")))"),"empty")</f>
        <v>empty</v>
      </c>
      <c r="K118" s="19" t="str">
        <f t="shared" ca="1" si="118"/>
        <v>empty</v>
      </c>
      <c r="L118" s="19" t="str">
        <f t="shared" ca="1" si="118"/>
        <v>empty</v>
      </c>
      <c r="M118" s="19" t="str">
        <f t="shared" ca="1" si="118"/>
        <v>empty</v>
      </c>
    </row>
    <row r="119" spans="1:13" ht="15.5" x14ac:dyDescent="0.35">
      <c r="A119" s="17"/>
      <c r="B119" s="19"/>
      <c r="C119" s="19"/>
      <c r="D119" s="19"/>
      <c r="E119" s="19"/>
      <c r="F119" s="19"/>
      <c r="G119" s="13" t="s">
        <v>569</v>
      </c>
      <c r="H119" s="19" t="s">
        <v>569</v>
      </c>
      <c r="I119" s="19" t="str">
        <f t="shared" ca="1" si="1"/>
        <v>http://www.mohawkgroup.com</v>
      </c>
      <c r="J119" s="19" t="str">
        <f t="shared" ref="J119:M119" ca="1" si="119">IFERROR(__xludf.DUMMYFUNCTION("iferror(lower(regexreplace(substitute(trim(if(C119="""",""empty"",C119)),"" "",""_""),""[^A-Za-z0-9_]"","""")))"),"empty")</f>
        <v>empty</v>
      </c>
      <c r="K119" s="19" t="str">
        <f t="shared" ca="1" si="119"/>
        <v>empty</v>
      </c>
      <c r="L119" s="19" t="str">
        <f t="shared" ca="1" si="119"/>
        <v>empty</v>
      </c>
      <c r="M119" s="19" t="str">
        <f t="shared" ca="1" si="119"/>
        <v>empty</v>
      </c>
    </row>
    <row r="120" spans="1:13" ht="15.5" x14ac:dyDescent="0.35">
      <c r="A120" s="17"/>
      <c r="B120" s="19"/>
      <c r="C120" s="19"/>
      <c r="D120" s="19"/>
      <c r="E120" s="19"/>
      <c r="F120" s="19"/>
      <c r="G120" s="13" t="s">
        <v>569</v>
      </c>
      <c r="H120" s="19" t="s">
        <v>569</v>
      </c>
      <c r="I120" s="19" t="str">
        <f t="shared" ca="1" si="1"/>
        <v>http://www.mohawkgroup.com</v>
      </c>
      <c r="J120" s="19" t="str">
        <f t="shared" ref="J120:M120" ca="1" si="120">IFERROR(__xludf.DUMMYFUNCTION("iferror(lower(regexreplace(substitute(trim(if(C120="""",""empty"",C120)),"" "",""_""),""[^A-Za-z0-9_]"","""")))"),"empty")</f>
        <v>empty</v>
      </c>
      <c r="K120" s="19" t="str">
        <f t="shared" ca="1" si="120"/>
        <v>empty</v>
      </c>
      <c r="L120" s="19" t="str">
        <f t="shared" ca="1" si="120"/>
        <v>empty</v>
      </c>
      <c r="M120" s="19" t="str">
        <f t="shared" ca="1" si="120"/>
        <v>empty</v>
      </c>
    </row>
    <row r="121" spans="1:13" ht="15.5" x14ac:dyDescent="0.35">
      <c r="A121" s="17"/>
      <c r="B121" s="19"/>
      <c r="C121" s="19"/>
      <c r="D121" s="19"/>
      <c r="E121" s="19"/>
      <c r="F121" s="19"/>
      <c r="G121" s="13" t="s">
        <v>569</v>
      </c>
      <c r="H121" s="19" t="s">
        <v>569</v>
      </c>
      <c r="I121" s="19" t="str">
        <f t="shared" ca="1" si="1"/>
        <v>http://www.mohawkgroup.com</v>
      </c>
      <c r="J121" s="19" t="str">
        <f t="shared" ref="J121:M121" ca="1" si="121">IFERROR(__xludf.DUMMYFUNCTION("iferror(lower(regexreplace(substitute(trim(if(C121="""",""empty"",C121)),"" "",""_""),""[^A-Za-z0-9_]"","""")))"),"empty")</f>
        <v>empty</v>
      </c>
      <c r="K121" s="19" t="str">
        <f t="shared" ca="1" si="121"/>
        <v>empty</v>
      </c>
      <c r="L121" s="19" t="str">
        <f t="shared" ca="1" si="121"/>
        <v>empty</v>
      </c>
      <c r="M121" s="19" t="str">
        <f t="shared" ca="1" si="121"/>
        <v>empty</v>
      </c>
    </row>
    <row r="122" spans="1:13" ht="15.5" x14ac:dyDescent="0.35">
      <c r="A122" s="17"/>
      <c r="B122" s="19"/>
      <c r="C122" s="19"/>
      <c r="D122" s="19"/>
      <c r="E122" s="19"/>
      <c r="F122" s="19"/>
      <c r="G122" s="13" t="s">
        <v>569</v>
      </c>
      <c r="H122" s="19" t="s">
        <v>569</v>
      </c>
      <c r="I122" s="19" t="str">
        <f t="shared" ca="1" si="1"/>
        <v>http://www.mohawkgroup.com</v>
      </c>
      <c r="J122" s="19" t="str">
        <f t="shared" ref="J122:M122" ca="1" si="122">IFERROR(__xludf.DUMMYFUNCTION("iferror(lower(regexreplace(substitute(trim(if(C122="""",""empty"",C122)),"" "",""_""),""[^A-Za-z0-9_]"","""")))"),"empty")</f>
        <v>empty</v>
      </c>
      <c r="K122" s="19" t="str">
        <f t="shared" ca="1" si="122"/>
        <v>empty</v>
      </c>
      <c r="L122" s="19" t="str">
        <f t="shared" ca="1" si="122"/>
        <v>empty</v>
      </c>
      <c r="M122" s="19" t="str">
        <f t="shared" ca="1" si="122"/>
        <v>empty</v>
      </c>
    </row>
    <row r="123" spans="1:13" ht="15.5" x14ac:dyDescent="0.35">
      <c r="A123" s="17"/>
      <c r="B123" s="19"/>
      <c r="C123" s="19"/>
      <c r="D123" s="19"/>
      <c r="E123" s="19"/>
      <c r="F123" s="19"/>
      <c r="G123" s="13" t="s">
        <v>569</v>
      </c>
      <c r="H123" s="19" t="s">
        <v>569</v>
      </c>
      <c r="I123" s="19" t="str">
        <f t="shared" ca="1" si="1"/>
        <v>http://www.mohawkgroup.com</v>
      </c>
      <c r="J123" s="19" t="str">
        <f t="shared" ref="J123:M123" ca="1" si="123">IFERROR(__xludf.DUMMYFUNCTION("iferror(lower(regexreplace(substitute(trim(if(C123="""",""empty"",C123)),"" "",""_""),""[^A-Za-z0-9_]"","""")))"),"empty")</f>
        <v>empty</v>
      </c>
      <c r="K123" s="19" t="str">
        <f t="shared" ca="1" si="123"/>
        <v>empty</v>
      </c>
      <c r="L123" s="19" t="str">
        <f t="shared" ca="1" si="123"/>
        <v>empty</v>
      </c>
      <c r="M123" s="19" t="str">
        <f t="shared" ca="1" si="123"/>
        <v>empty</v>
      </c>
    </row>
    <row r="124" spans="1:13" ht="15.5" x14ac:dyDescent="0.35">
      <c r="A124" s="17"/>
      <c r="B124" s="19"/>
      <c r="C124" s="19"/>
      <c r="D124" s="19"/>
      <c r="E124" s="19"/>
      <c r="F124" s="19"/>
      <c r="G124" s="13" t="s">
        <v>569</v>
      </c>
      <c r="H124" s="19" t="s">
        <v>569</v>
      </c>
      <c r="I124" s="19" t="str">
        <f t="shared" ca="1" si="1"/>
        <v>http://www.mohawkgroup.com</v>
      </c>
      <c r="J124" s="19" t="str">
        <f t="shared" ref="J124:M124" ca="1" si="124">IFERROR(__xludf.DUMMYFUNCTION("iferror(lower(regexreplace(substitute(trim(if(C124="""",""empty"",C124)),"" "",""_""),""[^A-Za-z0-9_]"","""")))"),"empty")</f>
        <v>empty</v>
      </c>
      <c r="K124" s="19" t="str">
        <f t="shared" ca="1" si="124"/>
        <v>empty</v>
      </c>
      <c r="L124" s="19" t="str">
        <f t="shared" ca="1" si="124"/>
        <v>empty</v>
      </c>
      <c r="M124" s="19" t="str">
        <f t="shared" ca="1" si="124"/>
        <v>empty</v>
      </c>
    </row>
    <row r="125" spans="1:13" ht="15.5" x14ac:dyDescent="0.35">
      <c r="A125" s="17"/>
      <c r="B125" s="19"/>
      <c r="C125" s="19"/>
      <c r="D125" s="19"/>
      <c r="E125" s="19"/>
      <c r="F125" s="19"/>
      <c r="G125" s="13" t="s">
        <v>569</v>
      </c>
      <c r="H125" s="19" t="s">
        <v>569</v>
      </c>
      <c r="I125" s="19" t="str">
        <f t="shared" ca="1" si="1"/>
        <v>http://www.mohawkgroup.com</v>
      </c>
      <c r="J125" s="19" t="str">
        <f t="shared" ref="J125:M125" ca="1" si="125">IFERROR(__xludf.DUMMYFUNCTION("iferror(lower(regexreplace(substitute(trim(if(C125="""",""empty"",C125)),"" "",""_""),""[^A-Za-z0-9_]"","""")))"),"empty")</f>
        <v>empty</v>
      </c>
      <c r="K125" s="19" t="str">
        <f t="shared" ca="1" si="125"/>
        <v>empty</v>
      </c>
      <c r="L125" s="19" t="str">
        <f t="shared" ca="1" si="125"/>
        <v>empty</v>
      </c>
      <c r="M125" s="19" t="str">
        <f t="shared" ca="1" si="125"/>
        <v>empty</v>
      </c>
    </row>
    <row r="126" spans="1:13" ht="15.5" x14ac:dyDescent="0.35">
      <c r="A126" s="17"/>
      <c r="B126" s="19"/>
      <c r="C126" s="19"/>
      <c r="D126" s="19"/>
      <c r="E126" s="19"/>
      <c r="F126" s="19"/>
      <c r="G126" s="13" t="s">
        <v>569</v>
      </c>
      <c r="H126" s="19" t="s">
        <v>569</v>
      </c>
      <c r="I126" s="19" t="str">
        <f t="shared" ca="1" si="1"/>
        <v>http://www.mohawkgroup.com</v>
      </c>
      <c r="J126" s="19" t="str">
        <f t="shared" ref="J126:M126" ca="1" si="126">IFERROR(__xludf.DUMMYFUNCTION("iferror(lower(regexreplace(substitute(trim(if(C126="""",""empty"",C126)),"" "",""_""),""[^A-Za-z0-9_]"","""")))"),"empty")</f>
        <v>empty</v>
      </c>
      <c r="K126" s="19" t="str">
        <f t="shared" ca="1" si="126"/>
        <v>empty</v>
      </c>
      <c r="L126" s="19" t="str">
        <f t="shared" ca="1" si="126"/>
        <v>empty</v>
      </c>
      <c r="M126" s="19" t="str">
        <f t="shared" ca="1" si="126"/>
        <v>empty</v>
      </c>
    </row>
    <row r="127" spans="1:13" ht="15.5" x14ac:dyDescent="0.35">
      <c r="A127" s="17"/>
      <c r="B127" s="19"/>
      <c r="C127" s="19"/>
      <c r="D127" s="19"/>
      <c r="E127" s="19"/>
      <c r="F127" s="19"/>
      <c r="G127" s="13" t="s">
        <v>569</v>
      </c>
      <c r="H127" s="19" t="s">
        <v>569</v>
      </c>
      <c r="I127" s="19" t="str">
        <f t="shared" ca="1" si="1"/>
        <v>http://www.mohawkgroup.com</v>
      </c>
      <c r="J127" s="19" t="str">
        <f t="shared" ref="J127:M127" ca="1" si="127">IFERROR(__xludf.DUMMYFUNCTION("iferror(lower(regexreplace(substitute(trim(if(C127="""",""empty"",C127)),"" "",""_""),""[^A-Za-z0-9_]"","""")))"),"empty")</f>
        <v>empty</v>
      </c>
      <c r="K127" s="19" t="str">
        <f t="shared" ca="1" si="127"/>
        <v>empty</v>
      </c>
      <c r="L127" s="19" t="str">
        <f t="shared" ca="1" si="127"/>
        <v>empty</v>
      </c>
      <c r="M127" s="19" t="str">
        <f t="shared" ca="1" si="127"/>
        <v>empty</v>
      </c>
    </row>
    <row r="128" spans="1:13" ht="15.5" x14ac:dyDescent="0.35">
      <c r="A128" s="17"/>
      <c r="B128" s="19"/>
      <c r="C128" s="19"/>
      <c r="D128" s="19"/>
      <c r="E128" s="19"/>
      <c r="F128" s="19"/>
      <c r="G128" s="13" t="s">
        <v>569</v>
      </c>
      <c r="H128" s="19" t="s">
        <v>569</v>
      </c>
      <c r="I128" s="19" t="str">
        <f t="shared" ca="1" si="1"/>
        <v>http://www.mohawkgroup.com</v>
      </c>
      <c r="J128" s="19" t="str">
        <f t="shared" ref="J128:M128" ca="1" si="128">IFERROR(__xludf.DUMMYFUNCTION("iferror(lower(regexreplace(substitute(trim(if(C128="""",""empty"",C128)),"" "",""_""),""[^A-Za-z0-9_]"","""")))"),"empty")</f>
        <v>empty</v>
      </c>
      <c r="K128" s="19" t="str">
        <f t="shared" ca="1" si="128"/>
        <v>empty</v>
      </c>
      <c r="L128" s="19" t="str">
        <f t="shared" ca="1" si="128"/>
        <v>empty</v>
      </c>
      <c r="M128" s="19" t="str">
        <f t="shared" ca="1" si="128"/>
        <v>empty</v>
      </c>
    </row>
    <row r="129" spans="1:13" ht="15.5" x14ac:dyDescent="0.35">
      <c r="A129" s="17"/>
      <c r="B129" s="19"/>
      <c r="C129" s="19"/>
      <c r="D129" s="19"/>
      <c r="E129" s="19"/>
      <c r="F129" s="19"/>
      <c r="G129" s="13" t="s">
        <v>569</v>
      </c>
      <c r="H129" s="19" t="s">
        <v>569</v>
      </c>
      <c r="I129" s="19" t="str">
        <f t="shared" ca="1" si="1"/>
        <v>http://www.mohawkgroup.com</v>
      </c>
      <c r="J129" s="19" t="str">
        <f t="shared" ref="J129:M129" ca="1" si="129">IFERROR(__xludf.DUMMYFUNCTION("iferror(lower(regexreplace(substitute(trim(if(C129="""",""empty"",C129)),"" "",""_""),""[^A-Za-z0-9_]"","""")))"),"empty")</f>
        <v>empty</v>
      </c>
      <c r="K129" s="19" t="str">
        <f t="shared" ca="1" si="129"/>
        <v>empty</v>
      </c>
      <c r="L129" s="19" t="str">
        <f t="shared" ca="1" si="129"/>
        <v>empty</v>
      </c>
      <c r="M129" s="19" t="str">
        <f t="shared" ca="1" si="129"/>
        <v>empty</v>
      </c>
    </row>
    <row r="130" spans="1:13" ht="15.5" x14ac:dyDescent="0.35">
      <c r="A130" s="17"/>
      <c r="B130" s="19"/>
      <c r="C130" s="19"/>
      <c r="D130" s="19"/>
      <c r="E130" s="19"/>
      <c r="F130" s="19"/>
      <c r="G130" s="13" t="s">
        <v>569</v>
      </c>
      <c r="H130" s="19" t="s">
        <v>569</v>
      </c>
      <c r="I130" s="19" t="str">
        <f t="shared" ca="1" si="1"/>
        <v>http://www.mohawkgroup.com</v>
      </c>
      <c r="J130" s="19" t="str">
        <f t="shared" ref="J130:M130" ca="1" si="130">IFERROR(__xludf.DUMMYFUNCTION("iferror(lower(regexreplace(substitute(trim(if(C130="""",""empty"",C130)),"" "",""_""),""[^A-Za-z0-9_]"","""")))"),"empty")</f>
        <v>empty</v>
      </c>
      <c r="K130" s="19" t="str">
        <f t="shared" ca="1" si="130"/>
        <v>empty</v>
      </c>
      <c r="L130" s="19" t="str">
        <f t="shared" ca="1" si="130"/>
        <v>empty</v>
      </c>
      <c r="M130" s="19" t="str">
        <f t="shared" ca="1" si="130"/>
        <v>empty</v>
      </c>
    </row>
    <row r="131" spans="1:13" ht="15.5" x14ac:dyDescent="0.35">
      <c r="A131" s="17"/>
      <c r="B131" s="19"/>
      <c r="C131" s="19"/>
      <c r="D131" s="19"/>
      <c r="E131" s="19"/>
      <c r="F131" s="19"/>
      <c r="G131" s="13" t="s">
        <v>569</v>
      </c>
      <c r="H131" s="19" t="s">
        <v>569</v>
      </c>
      <c r="I131" s="19" t="str">
        <f t="shared" ca="1" si="1"/>
        <v>http://www.mohawkgroup.com</v>
      </c>
      <c r="J131" s="19" t="str">
        <f t="shared" ref="J131:M131" ca="1" si="131">IFERROR(__xludf.DUMMYFUNCTION("iferror(lower(regexreplace(substitute(trim(if(C131="""",""empty"",C131)),"" "",""_""),""[^A-Za-z0-9_]"","""")))"),"empty")</f>
        <v>empty</v>
      </c>
      <c r="K131" s="19" t="str">
        <f t="shared" ca="1" si="131"/>
        <v>empty</v>
      </c>
      <c r="L131" s="19" t="str">
        <f t="shared" ca="1" si="131"/>
        <v>empty</v>
      </c>
      <c r="M131" s="19" t="str">
        <f t="shared" ca="1" si="131"/>
        <v>empty</v>
      </c>
    </row>
    <row r="132" spans="1:13" ht="15.5" x14ac:dyDescent="0.35">
      <c r="A132" s="17"/>
      <c r="B132" s="19"/>
      <c r="C132" s="19"/>
      <c r="D132" s="19"/>
      <c r="E132" s="19"/>
      <c r="F132" s="19"/>
      <c r="G132" s="13" t="s">
        <v>569</v>
      </c>
      <c r="H132" s="19" t="s">
        <v>569</v>
      </c>
      <c r="I132" s="19" t="str">
        <f t="shared" ca="1" si="1"/>
        <v>http://www.mohawkgroup.com</v>
      </c>
      <c r="J132" s="19" t="str">
        <f t="shared" ref="J132:M132" ca="1" si="132">IFERROR(__xludf.DUMMYFUNCTION("iferror(lower(regexreplace(substitute(trim(if(C132="""",""empty"",C132)),"" "",""_""),""[^A-Za-z0-9_]"","""")))"),"empty")</f>
        <v>empty</v>
      </c>
      <c r="K132" s="19" t="str">
        <f t="shared" ca="1" si="132"/>
        <v>empty</v>
      </c>
      <c r="L132" s="19" t="str">
        <f t="shared" ca="1" si="132"/>
        <v>empty</v>
      </c>
      <c r="M132" s="19" t="str">
        <f t="shared" ca="1" si="132"/>
        <v>empty</v>
      </c>
    </row>
    <row r="133" spans="1:13" ht="15.5" x14ac:dyDescent="0.35">
      <c r="A133" s="17"/>
      <c r="B133" s="19"/>
      <c r="C133" s="19"/>
      <c r="D133" s="19"/>
      <c r="E133" s="19"/>
      <c r="F133" s="19"/>
      <c r="G133" s="13" t="s">
        <v>569</v>
      </c>
      <c r="H133" s="19" t="s">
        <v>569</v>
      </c>
      <c r="I133" s="19" t="str">
        <f t="shared" ca="1" si="1"/>
        <v>http://www.mohawkgroup.com</v>
      </c>
      <c r="J133" s="19" t="str">
        <f t="shared" ref="J133:M133" ca="1" si="133">IFERROR(__xludf.DUMMYFUNCTION("iferror(lower(regexreplace(substitute(trim(if(C133="""",""empty"",C133)),"" "",""_""),""[^A-Za-z0-9_]"","""")))"),"empty")</f>
        <v>empty</v>
      </c>
      <c r="K133" s="19" t="str">
        <f t="shared" ca="1" si="133"/>
        <v>empty</v>
      </c>
      <c r="L133" s="19" t="str">
        <f t="shared" ca="1" si="133"/>
        <v>empty</v>
      </c>
      <c r="M133" s="19" t="str">
        <f t="shared" ca="1" si="133"/>
        <v>empty</v>
      </c>
    </row>
    <row r="134" spans="1:13" ht="15.5" x14ac:dyDescent="0.35">
      <c r="A134" s="17"/>
      <c r="B134" s="19"/>
      <c r="C134" s="19"/>
      <c r="D134" s="19"/>
      <c r="E134" s="19"/>
      <c r="F134" s="19"/>
      <c r="G134" s="13" t="s">
        <v>569</v>
      </c>
      <c r="H134" s="19" t="s">
        <v>569</v>
      </c>
      <c r="I134" s="19" t="str">
        <f t="shared" ca="1" si="1"/>
        <v>http://www.mohawkgroup.com</v>
      </c>
      <c r="J134" s="19" t="str">
        <f t="shared" ref="J134:M134" ca="1" si="134">IFERROR(__xludf.DUMMYFUNCTION("iferror(lower(regexreplace(substitute(trim(if(C134="""",""empty"",C134)),"" "",""_""),""[^A-Za-z0-9_]"","""")))"),"empty")</f>
        <v>empty</v>
      </c>
      <c r="K134" s="19" t="str">
        <f t="shared" ca="1" si="134"/>
        <v>empty</v>
      </c>
      <c r="L134" s="19" t="str">
        <f t="shared" ca="1" si="134"/>
        <v>empty</v>
      </c>
      <c r="M134" s="19" t="str">
        <f t="shared" ca="1" si="134"/>
        <v>empty</v>
      </c>
    </row>
    <row r="135" spans="1:13" ht="15.5" x14ac:dyDescent="0.35">
      <c r="A135" s="17"/>
      <c r="B135" s="19"/>
      <c r="C135" s="19"/>
      <c r="D135" s="19"/>
      <c r="E135" s="19"/>
      <c r="F135" s="19"/>
      <c r="G135" s="13" t="s">
        <v>569</v>
      </c>
      <c r="H135" s="19" t="s">
        <v>569</v>
      </c>
      <c r="I135" s="19" t="str">
        <f t="shared" ca="1" si="1"/>
        <v>http://www.mohawkgroup.com</v>
      </c>
      <c r="J135" s="19" t="str">
        <f t="shared" ref="J135:M135" ca="1" si="135">IFERROR(__xludf.DUMMYFUNCTION("iferror(lower(regexreplace(substitute(trim(if(C135="""",""empty"",C135)),"" "",""_""),""[^A-Za-z0-9_]"","""")))"),"empty")</f>
        <v>empty</v>
      </c>
      <c r="K135" s="19" t="str">
        <f t="shared" ca="1" si="135"/>
        <v>empty</v>
      </c>
      <c r="L135" s="19" t="str">
        <f t="shared" ca="1" si="135"/>
        <v>empty</v>
      </c>
      <c r="M135" s="19" t="str">
        <f t="shared" ca="1" si="135"/>
        <v>empty</v>
      </c>
    </row>
    <row r="136" spans="1:13" ht="15.5" x14ac:dyDescent="0.35">
      <c r="A136" s="17"/>
      <c r="B136" s="19"/>
      <c r="C136" s="19"/>
      <c r="D136" s="19"/>
      <c r="E136" s="19"/>
      <c r="F136" s="19"/>
      <c r="G136" s="13" t="s">
        <v>569</v>
      </c>
      <c r="H136" s="19" t="s">
        <v>569</v>
      </c>
      <c r="I136" s="19" t="str">
        <f t="shared" ca="1" si="1"/>
        <v>http://www.mohawkgroup.com</v>
      </c>
      <c r="J136" s="19" t="str">
        <f t="shared" ref="J136:M136" ca="1" si="136">IFERROR(__xludf.DUMMYFUNCTION("iferror(lower(regexreplace(substitute(trim(if(C136="""",""empty"",C136)),"" "",""_""),""[^A-Za-z0-9_]"","""")))"),"empty")</f>
        <v>empty</v>
      </c>
      <c r="K136" s="19" t="str">
        <f t="shared" ca="1" si="136"/>
        <v>empty</v>
      </c>
      <c r="L136" s="19" t="str">
        <f t="shared" ca="1" si="136"/>
        <v>empty</v>
      </c>
      <c r="M136" s="19" t="str">
        <f t="shared" ca="1" si="136"/>
        <v>empty</v>
      </c>
    </row>
    <row r="137" spans="1:13" ht="15.5" x14ac:dyDescent="0.35">
      <c r="A137" s="17"/>
      <c r="B137" s="19"/>
      <c r="C137" s="19"/>
      <c r="D137" s="19"/>
      <c r="E137" s="19"/>
      <c r="F137" s="19"/>
      <c r="G137" s="13" t="s">
        <v>569</v>
      </c>
      <c r="H137" s="19" t="s">
        <v>569</v>
      </c>
      <c r="I137" s="19" t="str">
        <f t="shared" ca="1" si="1"/>
        <v>http://www.mohawkgroup.com</v>
      </c>
      <c r="J137" s="19" t="str">
        <f t="shared" ref="J137:M137" ca="1" si="137">IFERROR(__xludf.DUMMYFUNCTION("iferror(lower(regexreplace(substitute(trim(if(C137="""",""empty"",C137)),"" "",""_""),""[^A-Za-z0-9_]"","""")))"),"empty")</f>
        <v>empty</v>
      </c>
      <c r="K137" s="19" t="str">
        <f t="shared" ca="1" si="137"/>
        <v>empty</v>
      </c>
      <c r="L137" s="19" t="str">
        <f t="shared" ca="1" si="137"/>
        <v>empty</v>
      </c>
      <c r="M137" s="19" t="str">
        <f t="shared" ca="1" si="137"/>
        <v>empty</v>
      </c>
    </row>
    <row r="138" spans="1:13" ht="15.5" x14ac:dyDescent="0.35">
      <c r="A138" s="17"/>
      <c r="B138" s="19"/>
      <c r="C138" s="19"/>
      <c r="D138" s="19"/>
      <c r="E138" s="19"/>
      <c r="F138" s="19"/>
      <c r="G138" s="13" t="s">
        <v>569</v>
      </c>
      <c r="H138" s="19" t="s">
        <v>569</v>
      </c>
      <c r="I138" s="19" t="str">
        <f t="shared" ca="1" si="1"/>
        <v>http://www.mohawkgroup.com</v>
      </c>
      <c r="J138" s="19" t="str">
        <f t="shared" ref="J138:M138" ca="1" si="138">IFERROR(__xludf.DUMMYFUNCTION("iferror(lower(regexreplace(substitute(trim(if(C138="""",""empty"",C138)),"" "",""_""),""[^A-Za-z0-9_]"","""")))"),"empty")</f>
        <v>empty</v>
      </c>
      <c r="K138" s="19" t="str">
        <f t="shared" ca="1" si="138"/>
        <v>empty</v>
      </c>
      <c r="L138" s="19" t="str">
        <f t="shared" ca="1" si="138"/>
        <v>empty</v>
      </c>
      <c r="M138" s="19" t="str">
        <f t="shared" ca="1" si="138"/>
        <v>empty</v>
      </c>
    </row>
    <row r="139" spans="1:13" ht="15.5" x14ac:dyDescent="0.35">
      <c r="A139" s="17"/>
      <c r="B139" s="19"/>
      <c r="C139" s="19"/>
      <c r="D139" s="19"/>
      <c r="E139" s="19"/>
      <c r="F139" s="19"/>
      <c r="G139" s="13" t="s">
        <v>569</v>
      </c>
      <c r="H139" s="19" t="s">
        <v>569</v>
      </c>
      <c r="I139" s="19" t="str">
        <f t="shared" ca="1" si="1"/>
        <v>http://www.mohawkgroup.com</v>
      </c>
      <c r="J139" s="19" t="str">
        <f t="shared" ref="J139:M139" ca="1" si="139">IFERROR(__xludf.DUMMYFUNCTION("iferror(lower(regexreplace(substitute(trim(if(C139="""",""empty"",C139)),"" "",""_""),""[^A-Za-z0-9_]"","""")))"),"empty")</f>
        <v>empty</v>
      </c>
      <c r="K139" s="19" t="str">
        <f t="shared" ca="1" si="139"/>
        <v>empty</v>
      </c>
      <c r="L139" s="19" t="str">
        <f t="shared" ca="1" si="139"/>
        <v>empty</v>
      </c>
      <c r="M139" s="19" t="str">
        <f t="shared" ca="1" si="139"/>
        <v>empty</v>
      </c>
    </row>
    <row r="140" spans="1:13" ht="15.5" x14ac:dyDescent="0.35">
      <c r="A140" s="17"/>
      <c r="B140" s="19"/>
      <c r="C140" s="19"/>
      <c r="D140" s="19"/>
      <c r="E140" s="19"/>
      <c r="F140" s="19"/>
      <c r="G140" s="13" t="s">
        <v>569</v>
      </c>
      <c r="H140" s="19" t="s">
        <v>569</v>
      </c>
      <c r="I140" s="19" t="str">
        <f t="shared" ca="1" si="1"/>
        <v>http://www.mohawkgroup.com</v>
      </c>
      <c r="J140" s="19" t="str">
        <f t="shared" ref="J140:M140" ca="1" si="140">IFERROR(__xludf.DUMMYFUNCTION("iferror(lower(regexreplace(substitute(trim(if(C140="""",""empty"",C140)),"" "",""_""),""[^A-Za-z0-9_]"","""")))"),"empty")</f>
        <v>empty</v>
      </c>
      <c r="K140" s="19" t="str">
        <f t="shared" ca="1" si="140"/>
        <v>empty</v>
      </c>
      <c r="L140" s="19" t="str">
        <f t="shared" ca="1" si="140"/>
        <v>empty</v>
      </c>
      <c r="M140" s="19" t="str">
        <f t="shared" ca="1" si="140"/>
        <v>empty</v>
      </c>
    </row>
    <row r="141" spans="1:13" ht="15.5" x14ac:dyDescent="0.35">
      <c r="A141" s="17"/>
      <c r="B141" s="19"/>
      <c r="C141" s="19"/>
      <c r="D141" s="19"/>
      <c r="E141" s="19"/>
      <c r="F141" s="19"/>
      <c r="G141" s="13" t="s">
        <v>569</v>
      </c>
      <c r="H141" s="19" t="s">
        <v>569</v>
      </c>
      <c r="I141" s="19" t="str">
        <f t="shared" ca="1" si="1"/>
        <v>http://www.mohawkgroup.com</v>
      </c>
      <c r="J141" s="19" t="str">
        <f t="shared" ref="J141:M141" ca="1" si="141">IFERROR(__xludf.DUMMYFUNCTION("iferror(lower(regexreplace(substitute(trim(if(C141="""",""empty"",C141)),"" "",""_""),""[^A-Za-z0-9_]"","""")))"),"empty")</f>
        <v>empty</v>
      </c>
      <c r="K141" s="19" t="str">
        <f t="shared" ca="1" si="141"/>
        <v>empty</v>
      </c>
      <c r="L141" s="19" t="str">
        <f t="shared" ca="1" si="141"/>
        <v>empty</v>
      </c>
      <c r="M141" s="19" t="str">
        <f t="shared" ca="1" si="141"/>
        <v>empty</v>
      </c>
    </row>
    <row r="142" spans="1:13" ht="15.5" x14ac:dyDescent="0.35">
      <c r="A142" s="17"/>
      <c r="B142" s="19"/>
      <c r="C142" s="19"/>
      <c r="D142" s="19"/>
      <c r="E142" s="19"/>
      <c r="F142" s="19"/>
      <c r="G142" s="13" t="s">
        <v>569</v>
      </c>
      <c r="H142" s="19" t="s">
        <v>569</v>
      </c>
      <c r="I142" s="19" t="str">
        <f t="shared" ca="1" si="1"/>
        <v>http://www.mohawkgroup.com</v>
      </c>
      <c r="J142" s="19" t="str">
        <f t="shared" ref="J142:M142" ca="1" si="142">IFERROR(__xludf.DUMMYFUNCTION("iferror(lower(regexreplace(substitute(trim(if(C142="""",""empty"",C142)),"" "",""_""),""[^A-Za-z0-9_]"","""")))"),"empty")</f>
        <v>empty</v>
      </c>
      <c r="K142" s="19" t="str">
        <f t="shared" ca="1" si="142"/>
        <v>empty</v>
      </c>
      <c r="L142" s="19" t="str">
        <f t="shared" ca="1" si="142"/>
        <v>empty</v>
      </c>
      <c r="M142" s="19" t="str">
        <f t="shared" ca="1" si="142"/>
        <v>empty</v>
      </c>
    </row>
    <row r="143" spans="1:13" ht="15.5" x14ac:dyDescent="0.35">
      <c r="A143" s="17"/>
      <c r="B143" s="19"/>
      <c r="C143" s="19"/>
      <c r="D143" s="19"/>
      <c r="E143" s="19"/>
      <c r="F143" s="19"/>
      <c r="G143" s="13" t="s">
        <v>569</v>
      </c>
      <c r="H143" s="19" t="s">
        <v>569</v>
      </c>
      <c r="I143" s="19" t="str">
        <f t="shared" ca="1" si="1"/>
        <v>http://www.mohawkgroup.com</v>
      </c>
      <c r="J143" s="19" t="str">
        <f t="shared" ref="J143:M143" ca="1" si="143">IFERROR(__xludf.DUMMYFUNCTION("iferror(lower(regexreplace(substitute(trim(if(C143="""",""empty"",C143)),"" "",""_""),""[^A-Za-z0-9_]"","""")))"),"empty")</f>
        <v>empty</v>
      </c>
      <c r="K143" s="19" t="str">
        <f t="shared" ca="1" si="143"/>
        <v>empty</v>
      </c>
      <c r="L143" s="19" t="str">
        <f t="shared" ca="1" si="143"/>
        <v>empty</v>
      </c>
      <c r="M143" s="19" t="str">
        <f t="shared" ca="1" si="143"/>
        <v>empty</v>
      </c>
    </row>
    <row r="144" spans="1:13" ht="15.5" x14ac:dyDescent="0.35">
      <c r="A144" s="17"/>
      <c r="B144" s="19"/>
      <c r="C144" s="19"/>
      <c r="D144" s="19"/>
      <c r="E144" s="19"/>
      <c r="F144" s="19"/>
      <c r="G144" s="13" t="s">
        <v>569</v>
      </c>
      <c r="H144" s="19" t="s">
        <v>569</v>
      </c>
      <c r="I144" s="19" t="str">
        <f t="shared" ca="1" si="1"/>
        <v>http://www.mohawkgroup.com</v>
      </c>
      <c r="J144" s="19" t="str">
        <f t="shared" ref="J144:M144" ca="1" si="144">IFERROR(__xludf.DUMMYFUNCTION("iferror(lower(regexreplace(substitute(trim(if(C144="""",""empty"",C144)),"" "",""_""),""[^A-Za-z0-9_]"","""")))"),"empty")</f>
        <v>empty</v>
      </c>
      <c r="K144" s="19" t="str">
        <f t="shared" ca="1" si="144"/>
        <v>empty</v>
      </c>
      <c r="L144" s="19" t="str">
        <f t="shared" ca="1" si="144"/>
        <v>empty</v>
      </c>
      <c r="M144" s="19" t="str">
        <f t="shared" ca="1" si="144"/>
        <v>empty</v>
      </c>
    </row>
    <row r="145" spans="1:13" ht="15.5" x14ac:dyDescent="0.35">
      <c r="A145" s="17"/>
      <c r="B145" s="19"/>
      <c r="C145" s="19"/>
      <c r="D145" s="19"/>
      <c r="E145" s="19"/>
      <c r="F145" s="19"/>
      <c r="G145" s="13" t="s">
        <v>569</v>
      </c>
      <c r="H145" s="19" t="s">
        <v>569</v>
      </c>
      <c r="I145" s="19" t="str">
        <f t="shared" ca="1" si="1"/>
        <v>http://www.mohawkgroup.com</v>
      </c>
      <c r="J145" s="19" t="str">
        <f t="shared" ref="J145:M145" ca="1" si="145">IFERROR(__xludf.DUMMYFUNCTION("iferror(lower(regexreplace(substitute(trim(if(C145="""",""empty"",C145)),"" "",""_""),""[^A-Za-z0-9_]"","""")))"),"empty")</f>
        <v>empty</v>
      </c>
      <c r="K145" s="19" t="str">
        <f t="shared" ca="1" si="145"/>
        <v>empty</v>
      </c>
      <c r="L145" s="19" t="str">
        <f t="shared" ca="1" si="145"/>
        <v>empty</v>
      </c>
      <c r="M145" s="19" t="str">
        <f t="shared" ca="1" si="145"/>
        <v>empty</v>
      </c>
    </row>
    <row r="146" spans="1:13" ht="15.5" x14ac:dyDescent="0.35">
      <c r="A146" s="17"/>
      <c r="B146" s="19"/>
      <c r="C146" s="19"/>
      <c r="D146" s="19"/>
      <c r="E146" s="19"/>
      <c r="F146" s="19"/>
      <c r="G146" s="13" t="s">
        <v>569</v>
      </c>
      <c r="H146" s="19" t="s">
        <v>569</v>
      </c>
      <c r="I146" s="19" t="str">
        <f t="shared" ca="1" si="1"/>
        <v>http://www.mohawkgroup.com</v>
      </c>
      <c r="J146" s="19" t="str">
        <f t="shared" ref="J146:M146" ca="1" si="146">IFERROR(__xludf.DUMMYFUNCTION("iferror(lower(regexreplace(substitute(trim(if(C146="""",""empty"",C146)),"" "",""_""),""[^A-Za-z0-9_]"","""")))"),"empty")</f>
        <v>empty</v>
      </c>
      <c r="K146" s="19" t="str">
        <f t="shared" ca="1" si="146"/>
        <v>empty</v>
      </c>
      <c r="L146" s="19" t="str">
        <f t="shared" ca="1" si="146"/>
        <v>empty</v>
      </c>
      <c r="M146" s="19" t="str">
        <f t="shared" ca="1" si="146"/>
        <v>empty</v>
      </c>
    </row>
    <row r="147" spans="1:13" ht="15.5" x14ac:dyDescent="0.35">
      <c r="A147" s="17"/>
      <c r="B147" s="19"/>
      <c r="C147" s="19"/>
      <c r="D147" s="19"/>
      <c r="E147" s="19"/>
      <c r="F147" s="19"/>
      <c r="G147" s="13" t="s">
        <v>569</v>
      </c>
      <c r="H147" s="19" t="s">
        <v>569</v>
      </c>
      <c r="I147" s="19" t="str">
        <f t="shared" ca="1" si="1"/>
        <v>http://www.mohawkgroup.com</v>
      </c>
      <c r="J147" s="19" t="str">
        <f t="shared" ref="J147:M147" ca="1" si="147">IFERROR(__xludf.DUMMYFUNCTION("iferror(lower(regexreplace(substitute(trim(if(C147="""",""empty"",C147)),"" "",""_""),""[^A-Za-z0-9_]"","""")))"),"empty")</f>
        <v>empty</v>
      </c>
      <c r="K147" s="19" t="str">
        <f t="shared" ca="1" si="147"/>
        <v>empty</v>
      </c>
      <c r="L147" s="19" t="str">
        <f t="shared" ca="1" si="147"/>
        <v>empty</v>
      </c>
      <c r="M147" s="19" t="str">
        <f t="shared" ca="1" si="147"/>
        <v>empty</v>
      </c>
    </row>
    <row r="148" spans="1:13" ht="15.5" x14ac:dyDescent="0.35">
      <c r="A148" s="17"/>
      <c r="B148" s="19"/>
      <c r="C148" s="19"/>
      <c r="D148" s="19"/>
      <c r="E148" s="19"/>
      <c r="F148" s="19"/>
      <c r="G148" s="13" t="s">
        <v>569</v>
      </c>
      <c r="H148" s="19" t="s">
        <v>569</v>
      </c>
      <c r="I148" s="19" t="str">
        <f t="shared" ca="1" si="1"/>
        <v>http://www.mohawkgroup.com</v>
      </c>
      <c r="J148" s="19" t="str">
        <f t="shared" ref="J148:M148" ca="1" si="148">IFERROR(__xludf.DUMMYFUNCTION("iferror(lower(regexreplace(substitute(trim(if(C148="""",""empty"",C148)),"" "",""_""),""[^A-Za-z0-9_]"","""")))"),"empty")</f>
        <v>empty</v>
      </c>
      <c r="K148" s="19" t="str">
        <f t="shared" ca="1" si="148"/>
        <v>empty</v>
      </c>
      <c r="L148" s="19" t="str">
        <f t="shared" ca="1" si="148"/>
        <v>empty</v>
      </c>
      <c r="M148" s="19" t="str">
        <f t="shared" ca="1" si="148"/>
        <v>empty</v>
      </c>
    </row>
    <row r="149" spans="1:13" ht="15.5" x14ac:dyDescent="0.35">
      <c r="A149" s="17"/>
      <c r="B149" s="19"/>
      <c r="C149" s="19"/>
      <c r="D149" s="19"/>
      <c r="E149" s="19"/>
      <c r="F149" s="19"/>
      <c r="G149" s="13" t="s">
        <v>569</v>
      </c>
      <c r="H149" s="19" t="s">
        <v>569</v>
      </c>
      <c r="I149" s="19" t="str">
        <f t="shared" ca="1" si="1"/>
        <v>http://www.mohawkgroup.com</v>
      </c>
      <c r="J149" s="19" t="str">
        <f t="shared" ref="J149:M149" ca="1" si="149">IFERROR(__xludf.DUMMYFUNCTION("iferror(lower(regexreplace(substitute(trim(if(C149="""",""empty"",C149)),"" "",""_""),""[^A-Za-z0-9_]"","""")))"),"empty")</f>
        <v>empty</v>
      </c>
      <c r="K149" s="19" t="str">
        <f t="shared" ca="1" si="149"/>
        <v>empty</v>
      </c>
      <c r="L149" s="19" t="str">
        <f t="shared" ca="1" si="149"/>
        <v>empty</v>
      </c>
      <c r="M149" s="19" t="str">
        <f t="shared" ca="1" si="149"/>
        <v>empty</v>
      </c>
    </row>
    <row r="150" spans="1:13" ht="15.5" x14ac:dyDescent="0.35">
      <c r="A150" s="17"/>
      <c r="B150" s="19"/>
      <c r="C150" s="19"/>
      <c r="D150" s="19"/>
      <c r="E150" s="19"/>
      <c r="F150" s="19"/>
      <c r="G150" s="13" t="s">
        <v>569</v>
      </c>
      <c r="H150" s="19" t="s">
        <v>569</v>
      </c>
      <c r="I150" s="19" t="str">
        <f t="shared" ca="1" si="1"/>
        <v>http://www.mohawkgroup.com</v>
      </c>
      <c r="J150" s="19" t="str">
        <f t="shared" ref="J150:M150" ca="1" si="150">IFERROR(__xludf.DUMMYFUNCTION("iferror(lower(regexreplace(substitute(trim(if(C150="""",""empty"",C150)),"" "",""_""),""[^A-Za-z0-9_]"","""")))"),"empty")</f>
        <v>empty</v>
      </c>
      <c r="K150" s="19" t="str">
        <f t="shared" ca="1" si="150"/>
        <v>empty</v>
      </c>
      <c r="L150" s="19" t="str">
        <f t="shared" ca="1" si="150"/>
        <v>empty</v>
      </c>
      <c r="M150" s="19" t="str">
        <f t="shared" ca="1" si="150"/>
        <v>empty</v>
      </c>
    </row>
    <row r="151" spans="1:13" ht="15.5" x14ac:dyDescent="0.35">
      <c r="A151" s="17"/>
      <c r="B151" s="19"/>
      <c r="C151" s="19"/>
      <c r="D151" s="19"/>
      <c r="E151" s="19"/>
      <c r="F151" s="19"/>
      <c r="G151" s="13" t="s">
        <v>569</v>
      </c>
      <c r="H151" s="19" t="s">
        <v>569</v>
      </c>
      <c r="I151" s="19" t="str">
        <f t="shared" ca="1" si="1"/>
        <v>http://www.mohawkgroup.com</v>
      </c>
      <c r="J151" s="19" t="str">
        <f t="shared" ref="J151:M151" ca="1" si="151">IFERROR(__xludf.DUMMYFUNCTION("iferror(lower(regexreplace(substitute(trim(if(C151="""",""empty"",C151)),"" "",""_""),""[^A-Za-z0-9_]"","""")))"),"empty")</f>
        <v>empty</v>
      </c>
      <c r="K151" s="19" t="str">
        <f t="shared" ca="1" si="151"/>
        <v>empty</v>
      </c>
      <c r="L151" s="19" t="str">
        <f t="shared" ca="1" si="151"/>
        <v>empty</v>
      </c>
      <c r="M151" s="19" t="str">
        <f t="shared" ca="1" si="151"/>
        <v>empty</v>
      </c>
    </row>
    <row r="152" spans="1:13" ht="15.5" x14ac:dyDescent="0.35">
      <c r="A152" s="17"/>
      <c r="B152" s="19"/>
      <c r="C152" s="19"/>
      <c r="D152" s="19"/>
      <c r="E152" s="19"/>
      <c r="F152" s="19"/>
      <c r="G152" s="13" t="s">
        <v>569</v>
      </c>
      <c r="H152" s="19" t="s">
        <v>569</v>
      </c>
      <c r="I152" s="19" t="str">
        <f t="shared" ca="1" si="1"/>
        <v>http://www.mohawkgroup.com</v>
      </c>
      <c r="J152" s="19" t="str">
        <f t="shared" ref="J152:M152" ca="1" si="152">IFERROR(__xludf.DUMMYFUNCTION("iferror(lower(regexreplace(substitute(trim(if(C152="""",""empty"",C152)),"" "",""_""),""[^A-Za-z0-9_]"","""")))"),"empty")</f>
        <v>empty</v>
      </c>
      <c r="K152" s="19" t="str">
        <f t="shared" ca="1" si="152"/>
        <v>empty</v>
      </c>
      <c r="L152" s="19" t="str">
        <f t="shared" ca="1" si="152"/>
        <v>empty</v>
      </c>
      <c r="M152" s="19" t="str">
        <f t="shared" ca="1" si="152"/>
        <v>empty</v>
      </c>
    </row>
    <row r="153" spans="1:13" ht="15.5" x14ac:dyDescent="0.35">
      <c r="A153" s="17"/>
      <c r="B153" s="19"/>
      <c r="C153" s="19"/>
      <c r="D153" s="19"/>
      <c r="E153" s="19"/>
      <c r="F153" s="19"/>
      <c r="G153" s="13" t="s">
        <v>569</v>
      </c>
      <c r="H153" s="19" t="s">
        <v>569</v>
      </c>
      <c r="I153" s="19" t="str">
        <f t="shared" ca="1" si="1"/>
        <v>http://www.mohawkgroup.com</v>
      </c>
      <c r="J153" s="19" t="str">
        <f t="shared" ref="J153:M153" ca="1" si="153">IFERROR(__xludf.DUMMYFUNCTION("iferror(lower(regexreplace(substitute(trim(if(C153="""",""empty"",C153)),"" "",""_""),""[^A-Za-z0-9_]"","""")))"),"empty")</f>
        <v>empty</v>
      </c>
      <c r="K153" s="19" t="str">
        <f t="shared" ca="1" si="153"/>
        <v>empty</v>
      </c>
      <c r="L153" s="19" t="str">
        <f t="shared" ca="1" si="153"/>
        <v>empty</v>
      </c>
      <c r="M153" s="19" t="str">
        <f t="shared" ca="1" si="153"/>
        <v>empty</v>
      </c>
    </row>
    <row r="154" spans="1:13" ht="15.5" x14ac:dyDescent="0.35">
      <c r="A154" s="17"/>
      <c r="B154" s="19"/>
      <c r="C154" s="19"/>
      <c r="D154" s="19"/>
      <c r="E154" s="19"/>
      <c r="F154" s="19"/>
      <c r="G154" s="13" t="s">
        <v>569</v>
      </c>
      <c r="H154" s="19" t="s">
        <v>569</v>
      </c>
      <c r="I154" s="19" t="str">
        <f t="shared" ca="1" si="1"/>
        <v>http://www.mohawkgroup.com</v>
      </c>
      <c r="J154" s="19" t="str">
        <f t="shared" ref="J154:M154" ca="1" si="154">IFERROR(__xludf.DUMMYFUNCTION("iferror(lower(regexreplace(substitute(trim(if(C154="""",""empty"",C154)),"" "",""_""),""[^A-Za-z0-9_]"","""")))"),"empty")</f>
        <v>empty</v>
      </c>
      <c r="K154" s="19" t="str">
        <f t="shared" ca="1" si="154"/>
        <v>empty</v>
      </c>
      <c r="L154" s="19" t="str">
        <f t="shared" ca="1" si="154"/>
        <v>empty</v>
      </c>
      <c r="M154" s="19" t="str">
        <f t="shared" ca="1" si="154"/>
        <v>empty</v>
      </c>
    </row>
    <row r="155" spans="1:13" ht="15.5" x14ac:dyDescent="0.35">
      <c r="A155" s="17"/>
      <c r="B155" s="19"/>
      <c r="C155" s="19"/>
      <c r="D155" s="19"/>
      <c r="E155" s="19"/>
      <c r="F155" s="19"/>
      <c r="G155" s="13" t="s">
        <v>569</v>
      </c>
      <c r="H155" s="19" t="s">
        <v>569</v>
      </c>
      <c r="I155" s="19" t="str">
        <f t="shared" ca="1" si="1"/>
        <v>http://www.mohawkgroup.com</v>
      </c>
      <c r="J155" s="19" t="str">
        <f t="shared" ref="J155:M155" ca="1" si="155">IFERROR(__xludf.DUMMYFUNCTION("iferror(lower(regexreplace(substitute(trim(if(C155="""",""empty"",C155)),"" "",""_""),""[^A-Za-z0-9_]"","""")))"),"empty")</f>
        <v>empty</v>
      </c>
      <c r="K155" s="19" t="str">
        <f t="shared" ca="1" si="155"/>
        <v>empty</v>
      </c>
      <c r="L155" s="19" t="str">
        <f t="shared" ca="1" si="155"/>
        <v>empty</v>
      </c>
      <c r="M155" s="19" t="str">
        <f t="shared" ca="1" si="155"/>
        <v>empty</v>
      </c>
    </row>
    <row r="156" spans="1:13" ht="15.5" x14ac:dyDescent="0.35">
      <c r="A156" s="17"/>
      <c r="B156" s="19"/>
      <c r="C156" s="19"/>
      <c r="D156" s="19"/>
      <c r="E156" s="19"/>
      <c r="F156" s="19"/>
      <c r="G156" s="13" t="s">
        <v>569</v>
      </c>
      <c r="H156" s="19" t="s">
        <v>569</v>
      </c>
      <c r="I156" s="19" t="str">
        <f t="shared" ca="1" si="1"/>
        <v>http://www.mohawkgroup.com</v>
      </c>
      <c r="J156" s="19" t="str">
        <f t="shared" ref="J156:M156" ca="1" si="156">IFERROR(__xludf.DUMMYFUNCTION("iferror(lower(regexreplace(substitute(trim(if(C156="""",""empty"",C156)),"" "",""_""),""[^A-Za-z0-9_]"","""")))"),"empty")</f>
        <v>empty</v>
      </c>
      <c r="K156" s="19" t="str">
        <f t="shared" ca="1" si="156"/>
        <v>empty</v>
      </c>
      <c r="L156" s="19" t="str">
        <f t="shared" ca="1" si="156"/>
        <v>empty</v>
      </c>
      <c r="M156" s="19" t="str">
        <f t="shared" ca="1" si="156"/>
        <v>empty</v>
      </c>
    </row>
    <row r="157" spans="1:13" ht="15.5" x14ac:dyDescent="0.35">
      <c r="A157" s="17"/>
      <c r="B157" s="19"/>
      <c r="C157" s="19"/>
      <c r="D157" s="19"/>
      <c r="E157" s="19"/>
      <c r="F157" s="19"/>
      <c r="G157" s="13" t="s">
        <v>569</v>
      </c>
      <c r="H157" s="19" t="s">
        <v>569</v>
      </c>
      <c r="I157" s="19" t="str">
        <f t="shared" ca="1" si="1"/>
        <v>http://www.mohawkgroup.com</v>
      </c>
      <c r="J157" s="19" t="str">
        <f t="shared" ref="J157:M157" ca="1" si="157">IFERROR(__xludf.DUMMYFUNCTION("iferror(lower(regexreplace(substitute(trim(if(C157="""",""empty"",C157)),"" "",""_""),""[^A-Za-z0-9_]"","""")))"),"empty")</f>
        <v>empty</v>
      </c>
      <c r="K157" s="19" t="str">
        <f t="shared" ca="1" si="157"/>
        <v>empty</v>
      </c>
      <c r="L157" s="19" t="str">
        <f t="shared" ca="1" si="157"/>
        <v>empty</v>
      </c>
      <c r="M157" s="19" t="str">
        <f t="shared" ca="1" si="157"/>
        <v>empty</v>
      </c>
    </row>
    <row r="158" spans="1:13" ht="15.5" x14ac:dyDescent="0.35">
      <c r="A158" s="17"/>
      <c r="B158" s="19"/>
      <c r="C158" s="19"/>
      <c r="D158" s="19"/>
      <c r="E158" s="19"/>
      <c r="F158" s="19"/>
      <c r="G158" s="13" t="s">
        <v>569</v>
      </c>
      <c r="H158" s="19" t="s">
        <v>569</v>
      </c>
      <c r="I158" s="19" t="str">
        <f t="shared" ca="1" si="1"/>
        <v>http://www.mohawkgroup.com</v>
      </c>
      <c r="J158" s="19" t="str">
        <f t="shared" ref="J158:M158" ca="1" si="158">IFERROR(__xludf.DUMMYFUNCTION("iferror(lower(regexreplace(substitute(trim(if(C158="""",""empty"",C158)),"" "",""_""),""[^A-Za-z0-9_]"","""")))"),"empty")</f>
        <v>empty</v>
      </c>
      <c r="K158" s="19" t="str">
        <f t="shared" ca="1" si="158"/>
        <v>empty</v>
      </c>
      <c r="L158" s="19" t="str">
        <f t="shared" ca="1" si="158"/>
        <v>empty</v>
      </c>
      <c r="M158" s="19" t="str">
        <f t="shared" ca="1" si="158"/>
        <v>empty</v>
      </c>
    </row>
    <row r="159" spans="1:13" ht="15.5" x14ac:dyDescent="0.35">
      <c r="A159" s="17"/>
      <c r="B159" s="19"/>
      <c r="C159" s="19"/>
      <c r="D159" s="19"/>
      <c r="E159" s="19"/>
      <c r="F159" s="19"/>
      <c r="G159" s="13" t="s">
        <v>569</v>
      </c>
      <c r="H159" s="19" t="s">
        <v>569</v>
      </c>
      <c r="I159" s="19" t="str">
        <f t="shared" ca="1" si="1"/>
        <v>http://www.mohawkgroup.com</v>
      </c>
      <c r="J159" s="19" t="str">
        <f t="shared" ref="J159:M159" ca="1" si="159">IFERROR(__xludf.DUMMYFUNCTION("iferror(lower(regexreplace(substitute(trim(if(C159="""",""empty"",C159)),"" "",""_""),""[^A-Za-z0-9_]"","""")))"),"empty")</f>
        <v>empty</v>
      </c>
      <c r="K159" s="19" t="str">
        <f t="shared" ca="1" si="159"/>
        <v>empty</v>
      </c>
      <c r="L159" s="19" t="str">
        <f t="shared" ca="1" si="159"/>
        <v>empty</v>
      </c>
      <c r="M159" s="19" t="str">
        <f t="shared" ca="1" si="159"/>
        <v>empty</v>
      </c>
    </row>
    <row r="160" spans="1:13" ht="15.5" x14ac:dyDescent="0.35">
      <c r="A160" s="17"/>
      <c r="B160" s="19"/>
      <c r="C160" s="19"/>
      <c r="D160" s="19"/>
      <c r="E160" s="19"/>
      <c r="F160" s="19"/>
      <c r="G160" s="13" t="s">
        <v>569</v>
      </c>
      <c r="H160" s="19" t="s">
        <v>569</v>
      </c>
      <c r="I160" s="19" t="str">
        <f t="shared" ca="1" si="1"/>
        <v>http://www.mohawkgroup.com</v>
      </c>
      <c r="J160" s="19" t="str">
        <f t="shared" ref="J160:M160" ca="1" si="160">IFERROR(__xludf.DUMMYFUNCTION("iferror(lower(regexreplace(substitute(trim(if(C160="""",""empty"",C160)),"" "",""_""),""[^A-Za-z0-9_]"","""")))"),"empty")</f>
        <v>empty</v>
      </c>
      <c r="K160" s="19" t="str">
        <f t="shared" ca="1" si="160"/>
        <v>empty</v>
      </c>
      <c r="L160" s="19" t="str">
        <f t="shared" ca="1" si="160"/>
        <v>empty</v>
      </c>
      <c r="M160" s="19" t="str">
        <f t="shared" ca="1" si="160"/>
        <v>empty</v>
      </c>
    </row>
    <row r="161" spans="1:13" ht="15.5" x14ac:dyDescent="0.35">
      <c r="A161" s="17"/>
      <c r="B161" s="19"/>
      <c r="C161" s="19"/>
      <c r="D161" s="19"/>
      <c r="E161" s="19"/>
      <c r="F161" s="19"/>
      <c r="G161" s="13" t="s">
        <v>569</v>
      </c>
      <c r="H161" s="19" t="s">
        <v>569</v>
      </c>
      <c r="I161" s="19" t="str">
        <f t="shared" ca="1" si="1"/>
        <v>http://www.mohawkgroup.com</v>
      </c>
      <c r="J161" s="19" t="str">
        <f t="shared" ref="J161:M161" ca="1" si="161">IFERROR(__xludf.DUMMYFUNCTION("iferror(lower(regexreplace(substitute(trim(if(C161="""",""empty"",C161)),"" "",""_""),""[^A-Za-z0-9_]"","""")))"),"empty")</f>
        <v>empty</v>
      </c>
      <c r="K161" s="19" t="str">
        <f t="shared" ca="1" si="161"/>
        <v>empty</v>
      </c>
      <c r="L161" s="19" t="str">
        <f t="shared" ca="1" si="161"/>
        <v>empty</v>
      </c>
      <c r="M161" s="19" t="str">
        <f t="shared" ca="1" si="161"/>
        <v>empty</v>
      </c>
    </row>
    <row r="162" spans="1:13" ht="15.5" x14ac:dyDescent="0.35">
      <c r="A162" s="17"/>
      <c r="B162" s="19"/>
      <c r="C162" s="19"/>
      <c r="D162" s="19"/>
      <c r="E162" s="19"/>
      <c r="F162" s="19"/>
      <c r="G162" s="13" t="s">
        <v>569</v>
      </c>
      <c r="H162" s="19" t="s">
        <v>569</v>
      </c>
      <c r="I162" s="19" t="str">
        <f t="shared" ca="1" si="1"/>
        <v>http://www.mohawkgroup.com</v>
      </c>
      <c r="J162" s="19" t="str">
        <f t="shared" ref="J162:M162" ca="1" si="162">IFERROR(__xludf.DUMMYFUNCTION("iferror(lower(regexreplace(substitute(trim(if(C162="""",""empty"",C162)),"" "",""_""),""[^A-Za-z0-9_]"","""")))"),"empty")</f>
        <v>empty</v>
      </c>
      <c r="K162" s="19" t="str">
        <f t="shared" ca="1" si="162"/>
        <v>empty</v>
      </c>
      <c r="L162" s="19" t="str">
        <f t="shared" ca="1" si="162"/>
        <v>empty</v>
      </c>
      <c r="M162" s="19" t="str">
        <f t="shared" ca="1" si="162"/>
        <v>empty</v>
      </c>
    </row>
    <row r="163" spans="1:13" ht="15.5" x14ac:dyDescent="0.35">
      <c r="A163" s="17"/>
      <c r="B163" s="19"/>
      <c r="C163" s="19"/>
      <c r="D163" s="19"/>
      <c r="E163" s="19"/>
      <c r="F163" s="19"/>
      <c r="G163" s="13" t="s">
        <v>569</v>
      </c>
      <c r="H163" s="19" t="s">
        <v>569</v>
      </c>
      <c r="I163" s="19" t="str">
        <f t="shared" ca="1" si="1"/>
        <v>http://www.mohawkgroup.com</v>
      </c>
      <c r="J163" s="19" t="str">
        <f t="shared" ref="J163:M163" ca="1" si="163">IFERROR(__xludf.DUMMYFUNCTION("iferror(lower(regexreplace(substitute(trim(if(C163="""",""empty"",C163)),"" "",""_""),""[^A-Za-z0-9_]"","""")))"),"empty")</f>
        <v>empty</v>
      </c>
      <c r="K163" s="19" t="str">
        <f t="shared" ca="1" si="163"/>
        <v>empty</v>
      </c>
      <c r="L163" s="19" t="str">
        <f t="shared" ca="1" si="163"/>
        <v>empty</v>
      </c>
      <c r="M163" s="19" t="str">
        <f t="shared" ca="1" si="163"/>
        <v>empty</v>
      </c>
    </row>
    <row r="164" spans="1:13" ht="15.5" x14ac:dyDescent="0.35">
      <c r="A164" s="17"/>
      <c r="B164" s="19"/>
      <c r="C164" s="19"/>
      <c r="D164" s="19"/>
      <c r="E164" s="19"/>
      <c r="F164" s="19"/>
      <c r="G164" s="13" t="s">
        <v>569</v>
      </c>
      <c r="H164" s="19" t="s">
        <v>569</v>
      </c>
      <c r="I164" s="19" t="str">
        <f t="shared" ca="1" si="1"/>
        <v>http://www.mohawkgroup.com</v>
      </c>
      <c r="J164" s="19" t="str">
        <f t="shared" ref="J164:M164" ca="1" si="164">IFERROR(__xludf.DUMMYFUNCTION("iferror(lower(regexreplace(substitute(trim(if(C164="""",""empty"",C164)),"" "",""_""),""[^A-Za-z0-9_]"","""")))"),"empty")</f>
        <v>empty</v>
      </c>
      <c r="K164" s="19" t="str">
        <f t="shared" ca="1" si="164"/>
        <v>empty</v>
      </c>
      <c r="L164" s="19" t="str">
        <f t="shared" ca="1" si="164"/>
        <v>empty</v>
      </c>
      <c r="M164" s="19" t="str">
        <f t="shared" ca="1" si="164"/>
        <v>empty</v>
      </c>
    </row>
    <row r="165" spans="1:13" ht="15.5" x14ac:dyDescent="0.35">
      <c r="A165" s="17"/>
      <c r="B165" s="19"/>
      <c r="C165" s="19"/>
      <c r="D165" s="19"/>
      <c r="E165" s="19"/>
      <c r="F165" s="19"/>
      <c r="G165" s="13" t="s">
        <v>569</v>
      </c>
      <c r="H165" s="19" t="s">
        <v>569</v>
      </c>
      <c r="I165" s="19" t="str">
        <f t="shared" ca="1" si="1"/>
        <v>http://www.mohawkgroup.com</v>
      </c>
      <c r="J165" s="19" t="str">
        <f t="shared" ref="J165:M165" ca="1" si="165">IFERROR(__xludf.DUMMYFUNCTION("iferror(lower(regexreplace(substitute(trim(if(C165="""",""empty"",C165)),"" "",""_""),""[^A-Za-z0-9_]"","""")))"),"empty")</f>
        <v>empty</v>
      </c>
      <c r="K165" s="19" t="str">
        <f t="shared" ca="1" si="165"/>
        <v>empty</v>
      </c>
      <c r="L165" s="19" t="str">
        <f t="shared" ca="1" si="165"/>
        <v>empty</v>
      </c>
      <c r="M165" s="19" t="str">
        <f t="shared" ca="1" si="165"/>
        <v>empty</v>
      </c>
    </row>
    <row r="166" spans="1:13" ht="15.5" x14ac:dyDescent="0.35">
      <c r="A166" s="17"/>
      <c r="B166" s="19"/>
      <c r="C166" s="19"/>
      <c r="D166" s="19"/>
      <c r="E166" s="19"/>
      <c r="F166" s="19"/>
      <c r="G166" s="13" t="s">
        <v>569</v>
      </c>
      <c r="H166" s="19" t="s">
        <v>569</v>
      </c>
      <c r="I166" s="19" t="str">
        <f t="shared" ca="1" si="1"/>
        <v>http://www.mohawkgroup.com</v>
      </c>
      <c r="J166" s="19" t="str">
        <f t="shared" ref="J166:M166" ca="1" si="166">IFERROR(__xludf.DUMMYFUNCTION("iferror(lower(regexreplace(substitute(trim(if(C166="""",""empty"",C166)),"" "",""_""),""[^A-Za-z0-9_]"","""")))"),"empty")</f>
        <v>empty</v>
      </c>
      <c r="K166" s="19" t="str">
        <f t="shared" ca="1" si="166"/>
        <v>empty</v>
      </c>
      <c r="L166" s="19" t="str">
        <f t="shared" ca="1" si="166"/>
        <v>empty</v>
      </c>
      <c r="M166" s="19" t="str">
        <f t="shared" ca="1" si="166"/>
        <v>empty</v>
      </c>
    </row>
    <row r="167" spans="1:13" ht="15.5" x14ac:dyDescent="0.35">
      <c r="A167" s="17"/>
      <c r="B167" s="19"/>
      <c r="C167" s="19"/>
      <c r="D167" s="19"/>
      <c r="E167" s="19"/>
      <c r="F167" s="19"/>
      <c r="G167" s="13" t="s">
        <v>569</v>
      </c>
      <c r="H167" s="19" t="s">
        <v>569</v>
      </c>
      <c r="I167" s="19" t="str">
        <f t="shared" ca="1" si="1"/>
        <v>http://www.mohawkgroup.com</v>
      </c>
      <c r="J167" s="19" t="str">
        <f t="shared" ref="J167:M167" ca="1" si="167">IFERROR(__xludf.DUMMYFUNCTION("iferror(lower(regexreplace(substitute(trim(if(C167="""",""empty"",C167)),"" "",""_""),""[^A-Za-z0-9_]"","""")))"),"empty")</f>
        <v>empty</v>
      </c>
      <c r="K167" s="19" t="str">
        <f t="shared" ca="1" si="167"/>
        <v>empty</v>
      </c>
      <c r="L167" s="19" t="str">
        <f t="shared" ca="1" si="167"/>
        <v>empty</v>
      </c>
      <c r="M167" s="19" t="str">
        <f t="shared" ca="1" si="167"/>
        <v>empty</v>
      </c>
    </row>
    <row r="168" spans="1:13" ht="15.5" x14ac:dyDescent="0.35">
      <c r="A168" s="17"/>
      <c r="B168" s="19"/>
      <c r="C168" s="19"/>
      <c r="D168" s="19"/>
      <c r="E168" s="19"/>
      <c r="F168" s="19"/>
      <c r="G168" s="13" t="s">
        <v>569</v>
      </c>
      <c r="H168" s="19" t="s">
        <v>569</v>
      </c>
      <c r="I168" s="19" t="str">
        <f t="shared" ca="1" si="1"/>
        <v>http://www.mohawkgroup.com</v>
      </c>
      <c r="J168" s="19" t="str">
        <f t="shared" ref="J168:M168" ca="1" si="168">IFERROR(__xludf.DUMMYFUNCTION("iferror(lower(regexreplace(substitute(trim(if(C168="""",""empty"",C168)),"" "",""_""),""[^A-Za-z0-9_]"","""")))"),"empty")</f>
        <v>empty</v>
      </c>
      <c r="K168" s="19" t="str">
        <f t="shared" ca="1" si="168"/>
        <v>empty</v>
      </c>
      <c r="L168" s="19" t="str">
        <f t="shared" ca="1" si="168"/>
        <v>empty</v>
      </c>
      <c r="M168" s="19" t="str">
        <f t="shared" ca="1" si="168"/>
        <v>empty</v>
      </c>
    </row>
    <row r="169" spans="1:13" ht="15.5" x14ac:dyDescent="0.35">
      <c r="A169" s="17"/>
      <c r="B169" s="19"/>
      <c r="C169" s="19"/>
      <c r="D169" s="19"/>
      <c r="E169" s="19"/>
      <c r="F169" s="19"/>
      <c r="G169" s="13" t="s">
        <v>569</v>
      </c>
      <c r="H169" s="19" t="s">
        <v>569</v>
      </c>
      <c r="I169" s="19" t="str">
        <f t="shared" ca="1" si="1"/>
        <v>http://www.mohawkgroup.com</v>
      </c>
      <c r="J169" s="19" t="str">
        <f t="shared" ref="J169:M169" ca="1" si="169">IFERROR(__xludf.DUMMYFUNCTION("iferror(lower(regexreplace(substitute(trim(if(C169="""",""empty"",C169)),"" "",""_""),""[^A-Za-z0-9_]"","""")))"),"empty")</f>
        <v>empty</v>
      </c>
      <c r="K169" s="19" t="str">
        <f t="shared" ca="1" si="169"/>
        <v>empty</v>
      </c>
      <c r="L169" s="19" t="str">
        <f t="shared" ca="1" si="169"/>
        <v>empty</v>
      </c>
      <c r="M169" s="19" t="str">
        <f t="shared" ca="1" si="169"/>
        <v>empty</v>
      </c>
    </row>
    <row r="170" spans="1:13" ht="15.5" x14ac:dyDescent="0.35">
      <c r="A170" s="17"/>
      <c r="B170" s="19"/>
      <c r="C170" s="19"/>
      <c r="D170" s="19"/>
      <c r="E170" s="19"/>
      <c r="F170" s="19"/>
      <c r="G170" s="13" t="s">
        <v>569</v>
      </c>
      <c r="H170" s="19" t="s">
        <v>569</v>
      </c>
      <c r="I170" s="19" t="str">
        <f t="shared" ca="1" si="1"/>
        <v>http://www.mohawkgroup.com</v>
      </c>
      <c r="J170" s="19" t="str">
        <f t="shared" ref="J170:M170" ca="1" si="170">IFERROR(__xludf.DUMMYFUNCTION("iferror(lower(regexreplace(substitute(trim(if(C170="""",""empty"",C170)),"" "",""_""),""[^A-Za-z0-9_]"","""")))"),"empty")</f>
        <v>empty</v>
      </c>
      <c r="K170" s="19" t="str">
        <f t="shared" ca="1" si="170"/>
        <v>empty</v>
      </c>
      <c r="L170" s="19" t="str">
        <f t="shared" ca="1" si="170"/>
        <v>empty</v>
      </c>
      <c r="M170" s="19" t="str">
        <f t="shared" ca="1" si="170"/>
        <v>empty</v>
      </c>
    </row>
    <row r="171" spans="1:13" ht="15.5" x14ac:dyDescent="0.35">
      <c r="A171" s="17"/>
      <c r="B171" s="19"/>
      <c r="C171" s="19"/>
      <c r="D171" s="19"/>
      <c r="E171" s="19"/>
      <c r="F171" s="19"/>
      <c r="G171" s="13" t="s">
        <v>569</v>
      </c>
      <c r="H171" s="19" t="s">
        <v>569</v>
      </c>
      <c r="I171" s="19" t="str">
        <f t="shared" ca="1" si="1"/>
        <v>http://www.mohawkgroup.com</v>
      </c>
      <c r="J171" s="19" t="str">
        <f t="shared" ref="J171:M171" ca="1" si="171">IFERROR(__xludf.DUMMYFUNCTION("iferror(lower(regexreplace(substitute(trim(if(C171="""",""empty"",C171)),"" "",""_""),""[^A-Za-z0-9_]"","""")))"),"empty")</f>
        <v>empty</v>
      </c>
      <c r="K171" s="19" t="str">
        <f t="shared" ca="1" si="171"/>
        <v>empty</v>
      </c>
      <c r="L171" s="19" t="str">
        <f t="shared" ca="1" si="171"/>
        <v>empty</v>
      </c>
      <c r="M171" s="19" t="str">
        <f t="shared" ca="1" si="171"/>
        <v>empty</v>
      </c>
    </row>
    <row r="172" spans="1:13" ht="15.5" x14ac:dyDescent="0.35">
      <c r="A172" s="17"/>
      <c r="B172" s="19"/>
      <c r="C172" s="19"/>
      <c r="D172" s="19"/>
      <c r="E172" s="19"/>
      <c r="F172" s="19"/>
      <c r="G172" s="13" t="s">
        <v>569</v>
      </c>
      <c r="H172" s="19" t="s">
        <v>569</v>
      </c>
      <c r="I172" s="19" t="str">
        <f t="shared" ca="1" si="1"/>
        <v>http://www.mohawkgroup.com</v>
      </c>
      <c r="J172" s="19" t="str">
        <f t="shared" ref="J172:M172" ca="1" si="172">IFERROR(__xludf.DUMMYFUNCTION("iferror(lower(regexreplace(substitute(trim(if(C172="""",""empty"",C172)),"" "",""_""),""[^A-Za-z0-9_]"","""")))"),"empty")</f>
        <v>empty</v>
      </c>
      <c r="K172" s="19" t="str">
        <f t="shared" ca="1" si="172"/>
        <v>empty</v>
      </c>
      <c r="L172" s="19" t="str">
        <f t="shared" ca="1" si="172"/>
        <v>empty</v>
      </c>
      <c r="M172" s="19" t="str">
        <f t="shared" ca="1" si="172"/>
        <v>empty</v>
      </c>
    </row>
    <row r="173" spans="1:13" ht="15.5" x14ac:dyDescent="0.35">
      <c r="A173" s="17"/>
      <c r="B173" s="19"/>
      <c r="C173" s="19"/>
      <c r="D173" s="19"/>
      <c r="E173" s="19"/>
      <c r="F173" s="19"/>
      <c r="G173" s="13" t="s">
        <v>569</v>
      </c>
      <c r="H173" s="19" t="s">
        <v>569</v>
      </c>
      <c r="I173" s="19" t="str">
        <f t="shared" ca="1" si="1"/>
        <v>http://www.mohawkgroup.com</v>
      </c>
      <c r="J173" s="19" t="str">
        <f t="shared" ref="J173:M173" ca="1" si="173">IFERROR(__xludf.DUMMYFUNCTION("iferror(lower(regexreplace(substitute(trim(if(C173="""",""empty"",C173)),"" "",""_""),""[^A-Za-z0-9_]"","""")))"),"empty")</f>
        <v>empty</v>
      </c>
      <c r="K173" s="19" t="str">
        <f t="shared" ca="1" si="173"/>
        <v>empty</v>
      </c>
      <c r="L173" s="19" t="str">
        <f t="shared" ca="1" si="173"/>
        <v>empty</v>
      </c>
      <c r="M173" s="19" t="str">
        <f t="shared" ca="1" si="173"/>
        <v>empty</v>
      </c>
    </row>
    <row r="174" spans="1:13" ht="15.5" x14ac:dyDescent="0.35">
      <c r="A174" s="17"/>
      <c r="B174" s="19"/>
      <c r="C174" s="19"/>
      <c r="D174" s="19"/>
      <c r="E174" s="19"/>
      <c r="F174" s="19"/>
      <c r="G174" s="13" t="s">
        <v>569</v>
      </c>
      <c r="H174" s="19" t="s">
        <v>569</v>
      </c>
      <c r="I174" s="19" t="str">
        <f t="shared" ca="1" si="1"/>
        <v>http://www.mohawkgroup.com</v>
      </c>
      <c r="J174" s="19" t="str">
        <f t="shared" ref="J174:M174" ca="1" si="174">IFERROR(__xludf.DUMMYFUNCTION("iferror(lower(regexreplace(substitute(trim(if(C174="""",""empty"",C174)),"" "",""_""),""[^A-Za-z0-9_]"","""")))"),"empty")</f>
        <v>empty</v>
      </c>
      <c r="K174" s="19" t="str">
        <f t="shared" ca="1" si="174"/>
        <v>empty</v>
      </c>
      <c r="L174" s="19" t="str">
        <f t="shared" ca="1" si="174"/>
        <v>empty</v>
      </c>
      <c r="M174" s="19" t="str">
        <f t="shared" ca="1" si="174"/>
        <v>empty</v>
      </c>
    </row>
    <row r="175" spans="1:13" ht="15.5" x14ac:dyDescent="0.35">
      <c r="A175" s="17"/>
      <c r="B175" s="19"/>
      <c r="C175" s="19"/>
      <c r="D175" s="19"/>
      <c r="E175" s="19"/>
      <c r="F175" s="19"/>
      <c r="G175" s="13" t="s">
        <v>569</v>
      </c>
      <c r="H175" s="19" t="s">
        <v>569</v>
      </c>
      <c r="I175" s="19" t="str">
        <f t="shared" ca="1" si="1"/>
        <v>http://www.mohawkgroup.com</v>
      </c>
      <c r="J175" s="19" t="str">
        <f t="shared" ref="J175:M175" ca="1" si="175">IFERROR(__xludf.DUMMYFUNCTION("iferror(lower(regexreplace(substitute(trim(if(C175="""",""empty"",C175)),"" "",""_""),""[^A-Za-z0-9_]"","""")))"),"empty")</f>
        <v>empty</v>
      </c>
      <c r="K175" s="19" t="str">
        <f t="shared" ca="1" si="175"/>
        <v>empty</v>
      </c>
      <c r="L175" s="19" t="str">
        <f t="shared" ca="1" si="175"/>
        <v>empty</v>
      </c>
      <c r="M175" s="19" t="str">
        <f t="shared" ca="1" si="175"/>
        <v>empty</v>
      </c>
    </row>
    <row r="176" spans="1:13" ht="15.5" x14ac:dyDescent="0.35">
      <c r="A176" s="17"/>
      <c r="B176" s="19"/>
      <c r="C176" s="19"/>
      <c r="D176" s="19"/>
      <c r="E176" s="19"/>
      <c r="F176" s="19"/>
      <c r="G176" s="13" t="s">
        <v>569</v>
      </c>
      <c r="H176" s="19" t="s">
        <v>569</v>
      </c>
      <c r="I176" s="19" t="str">
        <f t="shared" ca="1" si="1"/>
        <v>http://www.mohawkgroup.com</v>
      </c>
      <c r="J176" s="19" t="str">
        <f t="shared" ref="J176:M176" ca="1" si="176">IFERROR(__xludf.DUMMYFUNCTION("iferror(lower(regexreplace(substitute(trim(if(C176="""",""empty"",C176)),"" "",""_""),""[^A-Za-z0-9_]"","""")))"),"empty")</f>
        <v>empty</v>
      </c>
      <c r="K176" s="19" t="str">
        <f t="shared" ca="1" si="176"/>
        <v>empty</v>
      </c>
      <c r="L176" s="19" t="str">
        <f t="shared" ca="1" si="176"/>
        <v>empty</v>
      </c>
      <c r="M176" s="19" t="str">
        <f t="shared" ca="1" si="176"/>
        <v>empty</v>
      </c>
    </row>
    <row r="177" spans="1:13" ht="15.5" x14ac:dyDescent="0.35">
      <c r="A177" s="17"/>
      <c r="B177" s="19"/>
      <c r="C177" s="19"/>
      <c r="D177" s="19"/>
      <c r="E177" s="19"/>
      <c r="F177" s="19"/>
      <c r="G177" s="13" t="s">
        <v>569</v>
      </c>
      <c r="H177" s="19" t="s">
        <v>569</v>
      </c>
      <c r="I177" s="19" t="str">
        <f t="shared" ca="1" si="1"/>
        <v>http://www.mohawkgroup.com</v>
      </c>
      <c r="J177" s="19" t="str">
        <f t="shared" ref="J177:M177" ca="1" si="177">IFERROR(__xludf.DUMMYFUNCTION("iferror(lower(regexreplace(substitute(trim(if(C177="""",""empty"",C177)),"" "",""_""),""[^A-Za-z0-9_]"","""")))"),"empty")</f>
        <v>empty</v>
      </c>
      <c r="K177" s="19" t="str">
        <f t="shared" ca="1" si="177"/>
        <v>empty</v>
      </c>
      <c r="L177" s="19" t="str">
        <f t="shared" ca="1" si="177"/>
        <v>empty</v>
      </c>
      <c r="M177" s="19" t="str">
        <f t="shared" ca="1" si="177"/>
        <v>empty</v>
      </c>
    </row>
    <row r="178" spans="1:13" ht="15.5" x14ac:dyDescent="0.35">
      <c r="A178" s="17"/>
      <c r="B178" s="19"/>
      <c r="C178" s="19"/>
      <c r="D178" s="19"/>
      <c r="E178" s="19"/>
      <c r="F178" s="19"/>
      <c r="G178" s="13" t="s">
        <v>569</v>
      </c>
      <c r="H178" s="19" t="s">
        <v>569</v>
      </c>
      <c r="I178" s="19" t="str">
        <f t="shared" ca="1" si="1"/>
        <v>http://www.mohawkgroup.com</v>
      </c>
      <c r="J178" s="19" t="str">
        <f t="shared" ref="J178:M178" ca="1" si="178">IFERROR(__xludf.DUMMYFUNCTION("iferror(lower(regexreplace(substitute(trim(if(C178="""",""empty"",C178)),"" "",""_""),""[^A-Za-z0-9_]"","""")))"),"empty")</f>
        <v>empty</v>
      </c>
      <c r="K178" s="19" t="str">
        <f t="shared" ca="1" si="178"/>
        <v>empty</v>
      </c>
      <c r="L178" s="19" t="str">
        <f t="shared" ca="1" si="178"/>
        <v>empty</v>
      </c>
      <c r="M178" s="19" t="str">
        <f t="shared" ca="1" si="178"/>
        <v>empty</v>
      </c>
    </row>
    <row r="179" spans="1:13" ht="15.5" x14ac:dyDescent="0.35">
      <c r="A179" s="17"/>
      <c r="B179" s="19"/>
      <c r="C179" s="19"/>
      <c r="D179" s="19"/>
      <c r="E179" s="19"/>
      <c r="F179" s="19"/>
      <c r="G179" s="13" t="s">
        <v>569</v>
      </c>
      <c r="H179" s="19" t="s">
        <v>569</v>
      </c>
      <c r="I179" s="19" t="str">
        <f t="shared" ca="1" si="1"/>
        <v>http://www.mohawkgroup.com</v>
      </c>
      <c r="J179" s="19" t="str">
        <f t="shared" ref="J179:M179" ca="1" si="179">IFERROR(__xludf.DUMMYFUNCTION("iferror(lower(regexreplace(substitute(trim(if(C179="""",""empty"",C179)),"" "",""_""),""[^A-Za-z0-9_]"","""")))"),"empty")</f>
        <v>empty</v>
      </c>
      <c r="K179" s="19" t="str">
        <f t="shared" ca="1" si="179"/>
        <v>empty</v>
      </c>
      <c r="L179" s="19" t="str">
        <f t="shared" ca="1" si="179"/>
        <v>empty</v>
      </c>
      <c r="M179" s="19" t="str">
        <f t="shared" ca="1" si="179"/>
        <v>empty</v>
      </c>
    </row>
    <row r="180" spans="1:13" ht="15.5" x14ac:dyDescent="0.35">
      <c r="A180" s="17"/>
      <c r="B180" s="19"/>
      <c r="C180" s="19"/>
      <c r="D180" s="19"/>
      <c r="E180" s="19"/>
      <c r="F180" s="19"/>
      <c r="G180" s="13" t="s">
        <v>569</v>
      </c>
      <c r="H180" s="19" t="s">
        <v>569</v>
      </c>
      <c r="I180" s="19" t="str">
        <f t="shared" ca="1" si="1"/>
        <v>http://www.mohawkgroup.com</v>
      </c>
      <c r="J180" s="19" t="str">
        <f t="shared" ref="J180:M180" ca="1" si="180">IFERROR(__xludf.DUMMYFUNCTION("iferror(lower(regexreplace(substitute(trim(if(C180="""",""empty"",C180)),"" "",""_""),""[^A-Za-z0-9_]"","""")))"),"empty")</f>
        <v>empty</v>
      </c>
      <c r="K180" s="19" t="str">
        <f t="shared" ca="1" si="180"/>
        <v>empty</v>
      </c>
      <c r="L180" s="19" t="str">
        <f t="shared" ca="1" si="180"/>
        <v>empty</v>
      </c>
      <c r="M180" s="19" t="str">
        <f t="shared" ca="1" si="180"/>
        <v>empty</v>
      </c>
    </row>
    <row r="181" spans="1:13" ht="15.5" x14ac:dyDescent="0.35">
      <c r="A181" s="17"/>
      <c r="B181" s="19"/>
      <c r="C181" s="19"/>
      <c r="D181" s="19"/>
      <c r="E181" s="19"/>
      <c r="F181" s="19"/>
      <c r="G181" s="13" t="s">
        <v>569</v>
      </c>
      <c r="H181" s="19" t="s">
        <v>569</v>
      </c>
      <c r="I181" s="19" t="str">
        <f t="shared" ca="1" si="1"/>
        <v>http://www.mohawkgroup.com</v>
      </c>
      <c r="J181" s="19" t="str">
        <f t="shared" ref="J181:M181" ca="1" si="181">IFERROR(__xludf.DUMMYFUNCTION("iferror(lower(regexreplace(substitute(trim(if(C181="""",""empty"",C181)),"" "",""_""),""[^A-Za-z0-9_]"","""")))"),"empty")</f>
        <v>empty</v>
      </c>
      <c r="K181" s="19" t="str">
        <f t="shared" ca="1" si="181"/>
        <v>empty</v>
      </c>
      <c r="L181" s="19" t="str">
        <f t="shared" ca="1" si="181"/>
        <v>empty</v>
      </c>
      <c r="M181" s="19" t="str">
        <f t="shared" ca="1" si="181"/>
        <v>empty</v>
      </c>
    </row>
    <row r="182" spans="1:13" ht="15.5" x14ac:dyDescent="0.35">
      <c r="A182" s="17"/>
      <c r="B182" s="19"/>
      <c r="C182" s="19"/>
      <c r="D182" s="19"/>
      <c r="E182" s="19"/>
      <c r="F182" s="19"/>
      <c r="G182" s="13" t="s">
        <v>569</v>
      </c>
      <c r="H182" s="19" t="s">
        <v>569</v>
      </c>
      <c r="I182" s="19" t="str">
        <f t="shared" ca="1" si="1"/>
        <v>http://www.mohawkgroup.com</v>
      </c>
      <c r="J182" s="19" t="str">
        <f t="shared" ref="J182:M182" ca="1" si="182">IFERROR(__xludf.DUMMYFUNCTION("iferror(lower(regexreplace(substitute(trim(if(C182="""",""empty"",C182)),"" "",""_""),""[^A-Za-z0-9_]"","""")))"),"empty")</f>
        <v>empty</v>
      </c>
      <c r="K182" s="19" t="str">
        <f t="shared" ca="1" si="182"/>
        <v>empty</v>
      </c>
      <c r="L182" s="19" t="str">
        <f t="shared" ca="1" si="182"/>
        <v>empty</v>
      </c>
      <c r="M182" s="19" t="str">
        <f t="shared" ca="1" si="182"/>
        <v>empty</v>
      </c>
    </row>
    <row r="183" spans="1:13" ht="15.5" x14ac:dyDescent="0.35">
      <c r="A183" s="17"/>
      <c r="B183" s="19"/>
      <c r="C183" s="19"/>
      <c r="D183" s="19"/>
      <c r="E183" s="19"/>
      <c r="F183" s="19"/>
      <c r="G183" s="13" t="s">
        <v>569</v>
      </c>
      <c r="H183" s="19" t="s">
        <v>569</v>
      </c>
      <c r="I183" s="19" t="str">
        <f t="shared" ca="1" si="1"/>
        <v>http://www.mohawkgroup.com</v>
      </c>
      <c r="J183" s="19" t="str">
        <f t="shared" ref="J183:M183" ca="1" si="183">IFERROR(__xludf.DUMMYFUNCTION("iferror(lower(regexreplace(substitute(trim(if(C183="""",""empty"",C183)),"" "",""_""),""[^A-Za-z0-9_]"","""")))"),"empty")</f>
        <v>empty</v>
      </c>
      <c r="K183" s="19" t="str">
        <f t="shared" ca="1" si="183"/>
        <v>empty</v>
      </c>
      <c r="L183" s="19" t="str">
        <f t="shared" ca="1" si="183"/>
        <v>empty</v>
      </c>
      <c r="M183" s="19" t="str">
        <f t="shared" ca="1" si="183"/>
        <v>empty</v>
      </c>
    </row>
    <row r="184" spans="1:13" ht="15.5" x14ac:dyDescent="0.35">
      <c r="A184" s="17"/>
      <c r="B184" s="19"/>
      <c r="C184" s="19"/>
      <c r="D184" s="19"/>
      <c r="E184" s="19"/>
      <c r="F184" s="19"/>
      <c r="G184" s="13" t="s">
        <v>569</v>
      </c>
      <c r="H184" s="19" t="s">
        <v>569</v>
      </c>
      <c r="I184" s="19" t="str">
        <f t="shared" ca="1" si="1"/>
        <v>http://www.mohawkgroup.com</v>
      </c>
      <c r="J184" s="19" t="str">
        <f t="shared" ref="J184:M184" ca="1" si="184">IFERROR(__xludf.DUMMYFUNCTION("iferror(lower(regexreplace(substitute(trim(if(C184="""",""empty"",C184)),"" "",""_""),""[^A-Za-z0-9_]"","""")))"),"empty")</f>
        <v>empty</v>
      </c>
      <c r="K184" s="19" t="str">
        <f t="shared" ca="1" si="184"/>
        <v>empty</v>
      </c>
      <c r="L184" s="19" t="str">
        <f t="shared" ca="1" si="184"/>
        <v>empty</v>
      </c>
      <c r="M184" s="19" t="str">
        <f t="shared" ca="1" si="184"/>
        <v>empty</v>
      </c>
    </row>
    <row r="185" spans="1:13" ht="15.5" x14ac:dyDescent="0.35">
      <c r="A185" s="17"/>
      <c r="B185" s="19"/>
      <c r="C185" s="19"/>
      <c r="D185" s="19"/>
      <c r="E185" s="19"/>
      <c r="F185" s="19"/>
      <c r="G185" s="13" t="s">
        <v>569</v>
      </c>
      <c r="H185" s="19" t="s">
        <v>569</v>
      </c>
      <c r="I185" s="19" t="str">
        <f t="shared" ca="1" si="1"/>
        <v>http://www.mohawkgroup.com</v>
      </c>
      <c r="J185" s="19" t="str">
        <f t="shared" ref="J185:M185" ca="1" si="185">IFERROR(__xludf.DUMMYFUNCTION("iferror(lower(regexreplace(substitute(trim(if(C185="""",""empty"",C185)),"" "",""_""),""[^A-Za-z0-9_]"","""")))"),"empty")</f>
        <v>empty</v>
      </c>
      <c r="K185" s="19" t="str">
        <f t="shared" ca="1" si="185"/>
        <v>empty</v>
      </c>
      <c r="L185" s="19" t="str">
        <f t="shared" ca="1" si="185"/>
        <v>empty</v>
      </c>
      <c r="M185" s="19" t="str">
        <f t="shared" ca="1" si="185"/>
        <v>empty</v>
      </c>
    </row>
    <row r="186" spans="1:13" ht="15.5" x14ac:dyDescent="0.35">
      <c r="A186" s="17"/>
      <c r="B186" s="19"/>
      <c r="C186" s="19"/>
      <c r="D186" s="19"/>
      <c r="E186" s="19"/>
      <c r="F186" s="19"/>
      <c r="G186" s="13" t="s">
        <v>569</v>
      </c>
      <c r="H186" s="19" t="s">
        <v>569</v>
      </c>
      <c r="I186" s="19" t="str">
        <f t="shared" ca="1" si="1"/>
        <v>http://www.mohawkgroup.com</v>
      </c>
      <c r="J186" s="19" t="str">
        <f t="shared" ref="J186:M186" ca="1" si="186">IFERROR(__xludf.DUMMYFUNCTION("iferror(lower(regexreplace(substitute(trim(if(C186="""",""empty"",C186)),"" "",""_""),""[^A-Za-z0-9_]"","""")))"),"empty")</f>
        <v>empty</v>
      </c>
      <c r="K186" s="19" t="str">
        <f t="shared" ca="1" si="186"/>
        <v>empty</v>
      </c>
      <c r="L186" s="19" t="str">
        <f t="shared" ca="1" si="186"/>
        <v>empty</v>
      </c>
      <c r="M186" s="19" t="str">
        <f t="shared" ca="1" si="186"/>
        <v>empty</v>
      </c>
    </row>
    <row r="187" spans="1:13" ht="15.5" x14ac:dyDescent="0.35">
      <c r="A187" s="17"/>
      <c r="B187" s="19"/>
      <c r="C187" s="19"/>
      <c r="D187" s="19"/>
      <c r="E187" s="19"/>
      <c r="F187" s="19"/>
      <c r="G187" s="13" t="s">
        <v>569</v>
      </c>
      <c r="H187" s="19" t="s">
        <v>569</v>
      </c>
      <c r="I187" s="19" t="str">
        <f t="shared" ca="1" si="1"/>
        <v>http://www.mohawkgroup.com</v>
      </c>
      <c r="J187" s="19" t="str">
        <f t="shared" ref="J187:M187" ca="1" si="187">IFERROR(__xludf.DUMMYFUNCTION("iferror(lower(regexreplace(substitute(trim(if(C187="""",""empty"",C187)),"" "",""_""),""[^A-Za-z0-9_]"","""")))"),"empty")</f>
        <v>empty</v>
      </c>
      <c r="K187" s="19" t="str">
        <f t="shared" ca="1" si="187"/>
        <v>empty</v>
      </c>
      <c r="L187" s="19" t="str">
        <f t="shared" ca="1" si="187"/>
        <v>empty</v>
      </c>
      <c r="M187" s="19" t="str">
        <f t="shared" ca="1" si="187"/>
        <v>empty</v>
      </c>
    </row>
    <row r="188" spans="1:13" ht="15.5" x14ac:dyDescent="0.35">
      <c r="A188" s="17"/>
      <c r="B188" s="19"/>
      <c r="C188" s="19"/>
      <c r="D188" s="19"/>
      <c r="E188" s="19"/>
      <c r="F188" s="19"/>
      <c r="G188" s="13" t="s">
        <v>569</v>
      </c>
      <c r="H188" s="19" t="s">
        <v>569</v>
      </c>
      <c r="I188" s="19" t="str">
        <f t="shared" ca="1" si="1"/>
        <v>http://www.mohawkgroup.com</v>
      </c>
      <c r="J188" s="19" t="str">
        <f t="shared" ref="J188:M188" ca="1" si="188">IFERROR(__xludf.DUMMYFUNCTION("iferror(lower(regexreplace(substitute(trim(if(C188="""",""empty"",C188)),"" "",""_""),""[^A-Za-z0-9_]"","""")))"),"empty")</f>
        <v>empty</v>
      </c>
      <c r="K188" s="19" t="str">
        <f t="shared" ca="1" si="188"/>
        <v>empty</v>
      </c>
      <c r="L188" s="19" t="str">
        <f t="shared" ca="1" si="188"/>
        <v>empty</v>
      </c>
      <c r="M188" s="19" t="str">
        <f t="shared" ca="1" si="188"/>
        <v>empty</v>
      </c>
    </row>
    <row r="189" spans="1:13" ht="15.5" x14ac:dyDescent="0.35">
      <c r="A189" s="17"/>
      <c r="B189" s="19"/>
      <c r="C189" s="19"/>
      <c r="D189" s="19"/>
      <c r="E189" s="19"/>
      <c r="F189" s="19"/>
      <c r="G189" s="13" t="s">
        <v>569</v>
      </c>
      <c r="H189" s="19" t="s">
        <v>569</v>
      </c>
      <c r="I189" s="19" t="str">
        <f t="shared" ca="1" si="1"/>
        <v>http://www.mohawkgroup.com</v>
      </c>
      <c r="J189" s="19" t="str">
        <f t="shared" ref="J189:M189" ca="1" si="189">IFERROR(__xludf.DUMMYFUNCTION("iferror(lower(regexreplace(substitute(trim(if(C189="""",""empty"",C189)),"" "",""_""),""[^A-Za-z0-9_]"","""")))"),"empty")</f>
        <v>empty</v>
      </c>
      <c r="K189" s="19" t="str">
        <f t="shared" ca="1" si="189"/>
        <v>empty</v>
      </c>
      <c r="L189" s="19" t="str">
        <f t="shared" ca="1" si="189"/>
        <v>empty</v>
      </c>
      <c r="M189" s="19" t="str">
        <f t="shared" ca="1" si="189"/>
        <v>empty</v>
      </c>
    </row>
    <row r="190" spans="1:13" ht="15.5" x14ac:dyDescent="0.35">
      <c r="A190" s="17"/>
      <c r="B190" s="19"/>
      <c r="C190" s="19"/>
      <c r="D190" s="19"/>
      <c r="E190" s="19"/>
      <c r="F190" s="19"/>
      <c r="G190" s="13" t="s">
        <v>569</v>
      </c>
      <c r="H190" s="19" t="s">
        <v>569</v>
      </c>
      <c r="I190" s="19" t="str">
        <f t="shared" ca="1" si="1"/>
        <v>http://www.mohawkgroup.com</v>
      </c>
      <c r="J190" s="19" t="str">
        <f t="shared" ref="J190:M190" ca="1" si="190">IFERROR(__xludf.DUMMYFUNCTION("iferror(lower(regexreplace(substitute(trim(if(C190="""",""empty"",C190)),"" "",""_""),""[^A-Za-z0-9_]"","""")))"),"empty")</f>
        <v>empty</v>
      </c>
      <c r="K190" s="19" t="str">
        <f t="shared" ca="1" si="190"/>
        <v>empty</v>
      </c>
      <c r="L190" s="19" t="str">
        <f t="shared" ca="1" si="190"/>
        <v>empty</v>
      </c>
      <c r="M190" s="19" t="str">
        <f t="shared" ca="1" si="190"/>
        <v>empty</v>
      </c>
    </row>
    <row r="191" spans="1:13" ht="15.5" x14ac:dyDescent="0.35">
      <c r="A191" s="17"/>
      <c r="B191" s="19"/>
      <c r="C191" s="19"/>
      <c r="D191" s="19"/>
      <c r="E191" s="19"/>
      <c r="F191" s="19"/>
      <c r="G191" s="13" t="s">
        <v>569</v>
      </c>
      <c r="H191" s="19" t="s">
        <v>569</v>
      </c>
      <c r="I191" s="19" t="str">
        <f t="shared" ca="1" si="1"/>
        <v>http://www.mohawkgroup.com</v>
      </c>
      <c r="J191" s="19" t="str">
        <f t="shared" ref="J191:M191" ca="1" si="191">IFERROR(__xludf.DUMMYFUNCTION("iferror(lower(regexreplace(substitute(trim(if(C191="""",""empty"",C191)),"" "",""_""),""[^A-Za-z0-9_]"","""")))"),"empty")</f>
        <v>empty</v>
      </c>
      <c r="K191" s="19" t="str">
        <f t="shared" ca="1" si="191"/>
        <v>empty</v>
      </c>
      <c r="L191" s="19" t="str">
        <f t="shared" ca="1" si="191"/>
        <v>empty</v>
      </c>
      <c r="M191" s="19" t="str">
        <f t="shared" ca="1" si="191"/>
        <v>empty</v>
      </c>
    </row>
    <row r="192" spans="1:13" ht="15.5" x14ac:dyDescent="0.35">
      <c r="A192" s="17"/>
      <c r="B192" s="19"/>
      <c r="C192" s="19"/>
      <c r="D192" s="19"/>
      <c r="E192" s="19"/>
      <c r="F192" s="19"/>
      <c r="G192" s="13" t="s">
        <v>569</v>
      </c>
      <c r="H192" s="19" t="s">
        <v>569</v>
      </c>
      <c r="I192" s="19" t="str">
        <f t="shared" ca="1" si="1"/>
        <v>http://www.mohawkgroup.com</v>
      </c>
      <c r="J192" s="19" t="str">
        <f t="shared" ref="J192:M192" ca="1" si="192">IFERROR(__xludf.DUMMYFUNCTION("iferror(lower(regexreplace(substitute(trim(if(C192="""",""empty"",C192)),"" "",""_""),""[^A-Za-z0-9_]"","""")))"),"empty")</f>
        <v>empty</v>
      </c>
      <c r="K192" s="19" t="str">
        <f t="shared" ca="1" si="192"/>
        <v>empty</v>
      </c>
      <c r="L192" s="19" t="str">
        <f t="shared" ca="1" si="192"/>
        <v>empty</v>
      </c>
      <c r="M192" s="19" t="str">
        <f t="shared" ca="1" si="192"/>
        <v>empty</v>
      </c>
    </row>
    <row r="193" spans="1:13" ht="15.5" x14ac:dyDescent="0.35">
      <c r="A193" s="17"/>
      <c r="B193" s="19"/>
      <c r="C193" s="19"/>
      <c r="D193" s="19"/>
      <c r="E193" s="19"/>
      <c r="F193" s="19"/>
      <c r="G193" s="13" t="s">
        <v>569</v>
      </c>
      <c r="H193" s="19" t="s">
        <v>569</v>
      </c>
      <c r="I193" s="19" t="str">
        <f t="shared" ca="1" si="1"/>
        <v>http://www.mohawkgroup.com</v>
      </c>
      <c r="J193" s="19" t="str">
        <f t="shared" ref="J193:M193" ca="1" si="193">IFERROR(__xludf.DUMMYFUNCTION("iferror(lower(regexreplace(substitute(trim(if(C193="""",""empty"",C193)),"" "",""_""),""[^A-Za-z0-9_]"","""")))"),"empty")</f>
        <v>empty</v>
      </c>
      <c r="K193" s="19" t="str">
        <f t="shared" ca="1" si="193"/>
        <v>empty</v>
      </c>
      <c r="L193" s="19" t="str">
        <f t="shared" ca="1" si="193"/>
        <v>empty</v>
      </c>
      <c r="M193" s="19" t="str">
        <f t="shared" ca="1" si="193"/>
        <v>empty</v>
      </c>
    </row>
    <row r="194" spans="1:13" ht="15.5" x14ac:dyDescent="0.35">
      <c r="A194" s="17"/>
      <c r="B194" s="19"/>
      <c r="C194" s="19"/>
      <c r="D194" s="19"/>
      <c r="E194" s="19"/>
      <c r="F194" s="19"/>
      <c r="G194" s="13" t="s">
        <v>569</v>
      </c>
      <c r="H194" s="19" t="s">
        <v>569</v>
      </c>
      <c r="I194" s="19" t="str">
        <f t="shared" ca="1" si="1"/>
        <v>http://www.mohawkgroup.com</v>
      </c>
      <c r="J194" s="19" t="str">
        <f t="shared" ref="J194:M194" ca="1" si="194">IFERROR(__xludf.DUMMYFUNCTION("iferror(lower(regexreplace(substitute(trim(if(C194="""",""empty"",C194)),"" "",""_""),""[^A-Za-z0-9_]"","""")))"),"empty")</f>
        <v>empty</v>
      </c>
      <c r="K194" s="19" t="str">
        <f t="shared" ca="1" si="194"/>
        <v>empty</v>
      </c>
      <c r="L194" s="19" t="str">
        <f t="shared" ca="1" si="194"/>
        <v>empty</v>
      </c>
      <c r="M194" s="19" t="str">
        <f t="shared" ca="1" si="194"/>
        <v>empty</v>
      </c>
    </row>
    <row r="195" spans="1:13" ht="15.5" x14ac:dyDescent="0.35">
      <c r="A195" s="17"/>
      <c r="B195" s="19"/>
      <c r="C195" s="19"/>
      <c r="D195" s="19"/>
      <c r="E195" s="19"/>
      <c r="F195" s="19"/>
      <c r="G195" s="13" t="s">
        <v>569</v>
      </c>
      <c r="H195" s="19" t="s">
        <v>569</v>
      </c>
      <c r="I195" s="19" t="str">
        <f t="shared" ca="1" si="1"/>
        <v>http://www.mohawkgroup.com</v>
      </c>
      <c r="J195" s="19" t="str">
        <f t="shared" ref="J195:M195" ca="1" si="195">IFERROR(__xludf.DUMMYFUNCTION("iferror(lower(regexreplace(substitute(trim(if(C195="""",""empty"",C195)),"" "",""_""),""[^A-Za-z0-9_]"","""")))"),"empty")</f>
        <v>empty</v>
      </c>
      <c r="K195" s="19" t="str">
        <f t="shared" ca="1" si="195"/>
        <v>empty</v>
      </c>
      <c r="L195" s="19" t="str">
        <f t="shared" ca="1" si="195"/>
        <v>empty</v>
      </c>
      <c r="M195" s="19" t="str">
        <f t="shared" ca="1" si="195"/>
        <v>empty</v>
      </c>
    </row>
    <row r="196" spans="1:13" ht="15.5" x14ac:dyDescent="0.35">
      <c r="A196" s="17"/>
      <c r="B196" s="19"/>
      <c r="C196" s="19"/>
      <c r="D196" s="19"/>
      <c r="E196" s="19"/>
      <c r="F196" s="19"/>
      <c r="G196" s="13" t="s">
        <v>569</v>
      </c>
      <c r="H196" s="19" t="s">
        <v>569</v>
      </c>
      <c r="I196" s="19" t="str">
        <f t="shared" ca="1" si="1"/>
        <v>http://www.mohawkgroup.com</v>
      </c>
      <c r="J196" s="19" t="str">
        <f t="shared" ref="J196:M196" ca="1" si="196">IFERROR(__xludf.DUMMYFUNCTION("iferror(lower(regexreplace(substitute(trim(if(C196="""",""empty"",C196)),"" "",""_""),""[^A-Za-z0-9_]"","""")))"),"empty")</f>
        <v>empty</v>
      </c>
      <c r="K196" s="19" t="str">
        <f t="shared" ca="1" si="196"/>
        <v>empty</v>
      </c>
      <c r="L196" s="19" t="str">
        <f t="shared" ca="1" si="196"/>
        <v>empty</v>
      </c>
      <c r="M196" s="19" t="str">
        <f t="shared" ca="1" si="196"/>
        <v>empty</v>
      </c>
    </row>
    <row r="197" spans="1:13" ht="15.5" x14ac:dyDescent="0.35">
      <c r="A197" s="17"/>
      <c r="B197" s="19"/>
      <c r="C197" s="19"/>
      <c r="D197" s="19"/>
      <c r="E197" s="19"/>
      <c r="F197" s="19"/>
      <c r="G197" s="13" t="s">
        <v>569</v>
      </c>
      <c r="H197" s="19" t="s">
        <v>569</v>
      </c>
      <c r="I197" s="19" t="str">
        <f t="shared" ca="1" si="1"/>
        <v>http://www.mohawkgroup.com</v>
      </c>
      <c r="J197" s="19" t="str">
        <f t="shared" ref="J197:M197" ca="1" si="197">IFERROR(__xludf.DUMMYFUNCTION("iferror(lower(regexreplace(substitute(trim(if(C197="""",""empty"",C197)),"" "",""_""),""[^A-Za-z0-9_]"","""")))"),"empty")</f>
        <v>empty</v>
      </c>
      <c r="K197" s="19" t="str">
        <f t="shared" ca="1" si="197"/>
        <v>empty</v>
      </c>
      <c r="L197" s="19" t="str">
        <f t="shared" ca="1" si="197"/>
        <v>empty</v>
      </c>
      <c r="M197" s="19" t="str">
        <f t="shared" ca="1" si="197"/>
        <v>empty</v>
      </c>
    </row>
    <row r="198" spans="1:13" ht="15.5" x14ac:dyDescent="0.35">
      <c r="A198" s="17"/>
      <c r="B198" s="19"/>
      <c r="C198" s="19"/>
      <c r="D198" s="19"/>
      <c r="E198" s="19"/>
      <c r="F198" s="19"/>
      <c r="G198" s="13" t="s">
        <v>569</v>
      </c>
      <c r="H198" s="19" t="s">
        <v>569</v>
      </c>
      <c r="I198" s="19" t="str">
        <f t="shared" ca="1" si="1"/>
        <v>http://www.mohawkgroup.com</v>
      </c>
      <c r="J198" s="19" t="str">
        <f t="shared" ref="J198:M198" ca="1" si="198">IFERROR(__xludf.DUMMYFUNCTION("iferror(lower(regexreplace(substitute(trim(if(C198="""",""empty"",C198)),"" "",""_""),""[^A-Za-z0-9_]"","""")))"),"empty")</f>
        <v>empty</v>
      </c>
      <c r="K198" s="19" t="str">
        <f t="shared" ca="1" si="198"/>
        <v>empty</v>
      </c>
      <c r="L198" s="19" t="str">
        <f t="shared" ca="1" si="198"/>
        <v>empty</v>
      </c>
      <c r="M198" s="19" t="str">
        <f t="shared" ca="1" si="198"/>
        <v>empty</v>
      </c>
    </row>
    <row r="199" spans="1:13" ht="15.5" x14ac:dyDescent="0.35">
      <c r="A199" s="17"/>
      <c r="B199" s="19"/>
      <c r="C199" s="19"/>
      <c r="D199" s="19"/>
      <c r="E199" s="19"/>
      <c r="F199" s="19"/>
      <c r="G199" s="13" t="s">
        <v>569</v>
      </c>
      <c r="H199" s="19" t="s">
        <v>569</v>
      </c>
      <c r="I199" s="19" t="str">
        <f t="shared" ca="1" si="1"/>
        <v>http://www.mohawkgroup.com</v>
      </c>
      <c r="J199" s="19" t="str">
        <f t="shared" ref="J199:M199" ca="1" si="199">IFERROR(__xludf.DUMMYFUNCTION("iferror(lower(regexreplace(substitute(trim(if(C199="""",""empty"",C199)),"" "",""_""),""[^A-Za-z0-9_]"","""")))"),"empty")</f>
        <v>empty</v>
      </c>
      <c r="K199" s="19" t="str">
        <f t="shared" ca="1" si="199"/>
        <v>empty</v>
      </c>
      <c r="L199" s="19" t="str">
        <f t="shared" ca="1" si="199"/>
        <v>empty</v>
      </c>
      <c r="M199" s="19" t="str">
        <f t="shared" ca="1" si="199"/>
        <v>empty</v>
      </c>
    </row>
    <row r="200" spans="1:13" ht="15.5" x14ac:dyDescent="0.35">
      <c r="A200" s="17"/>
      <c r="B200" s="19"/>
      <c r="C200" s="19"/>
      <c r="D200" s="19"/>
      <c r="E200" s="19"/>
      <c r="F200" s="19"/>
      <c r="G200" s="13" t="s">
        <v>569</v>
      </c>
      <c r="H200" s="19" t="s">
        <v>569</v>
      </c>
      <c r="I200" s="19" t="str">
        <f t="shared" ca="1" si="1"/>
        <v>http://www.mohawkgroup.com</v>
      </c>
      <c r="J200" s="19" t="str">
        <f t="shared" ref="J200:M200" ca="1" si="200">IFERROR(__xludf.DUMMYFUNCTION("iferror(lower(regexreplace(substitute(trim(if(C200="""",""empty"",C200)),"" "",""_""),""[^A-Za-z0-9_]"","""")))"),"empty")</f>
        <v>empty</v>
      </c>
      <c r="K200" s="19" t="str">
        <f t="shared" ca="1" si="200"/>
        <v>empty</v>
      </c>
      <c r="L200" s="19" t="str">
        <f t="shared" ca="1" si="200"/>
        <v>empty</v>
      </c>
      <c r="M200" s="19" t="str">
        <f t="shared" ca="1" si="200"/>
        <v>empty</v>
      </c>
    </row>
    <row r="201" spans="1:13" ht="15.5" x14ac:dyDescent="0.35">
      <c r="A201" s="17"/>
      <c r="B201" s="19"/>
      <c r="C201" s="19"/>
      <c r="D201" s="19"/>
      <c r="E201" s="19"/>
      <c r="F201" s="19"/>
      <c r="G201" s="13" t="s">
        <v>569</v>
      </c>
      <c r="H201" s="19" t="s">
        <v>569</v>
      </c>
      <c r="I201" s="19" t="str">
        <f t="shared" ca="1" si="1"/>
        <v>http://www.mohawkgroup.com</v>
      </c>
      <c r="J201" s="19" t="str">
        <f t="shared" ref="J201:M201" ca="1" si="201">IFERROR(__xludf.DUMMYFUNCTION("iferror(lower(regexreplace(substitute(trim(if(C201="""",""empty"",C201)),"" "",""_""),""[^A-Za-z0-9_]"","""")))"),"empty")</f>
        <v>empty</v>
      </c>
      <c r="K201" s="19" t="str">
        <f t="shared" ca="1" si="201"/>
        <v>empty</v>
      </c>
      <c r="L201" s="19" t="str">
        <f t="shared" ca="1" si="201"/>
        <v>empty</v>
      </c>
      <c r="M201" s="19" t="str">
        <f t="shared" ca="1" si="201"/>
        <v>empty</v>
      </c>
    </row>
    <row r="202" spans="1:13" ht="15.5" x14ac:dyDescent="0.35">
      <c r="A202" s="17"/>
      <c r="B202" s="19"/>
      <c r="C202" s="19"/>
      <c r="D202" s="19"/>
      <c r="E202" s="19"/>
      <c r="F202" s="19"/>
      <c r="G202" s="13" t="s">
        <v>569</v>
      </c>
      <c r="H202" s="19" t="s">
        <v>569</v>
      </c>
      <c r="I202" s="19" t="str">
        <f t="shared" ca="1" si="1"/>
        <v>http://www.mohawkgroup.com</v>
      </c>
      <c r="J202" s="19" t="str">
        <f t="shared" ref="J202:M202" ca="1" si="202">IFERROR(__xludf.DUMMYFUNCTION("iferror(lower(regexreplace(substitute(trim(if(C202="""",""empty"",C202)),"" "",""_""),""[^A-Za-z0-9_]"","""")))"),"empty")</f>
        <v>empty</v>
      </c>
      <c r="K202" s="19" t="str">
        <f t="shared" ca="1" si="202"/>
        <v>empty</v>
      </c>
      <c r="L202" s="19" t="str">
        <f t="shared" ca="1" si="202"/>
        <v>empty</v>
      </c>
      <c r="M202" s="19" t="str">
        <f t="shared" ca="1" si="202"/>
        <v>empty</v>
      </c>
    </row>
    <row r="203" spans="1:13" ht="15.5" x14ac:dyDescent="0.35">
      <c r="A203" s="17"/>
      <c r="B203" s="19"/>
      <c r="C203" s="19"/>
      <c r="D203" s="19"/>
      <c r="E203" s="19"/>
      <c r="F203" s="19"/>
      <c r="G203" s="13" t="s">
        <v>569</v>
      </c>
      <c r="H203" s="19" t="s">
        <v>569</v>
      </c>
      <c r="I203" s="19" t="str">
        <f t="shared" ca="1" si="1"/>
        <v>http://www.mohawkgroup.com</v>
      </c>
      <c r="J203" s="19" t="str">
        <f t="shared" ref="J203:M203" ca="1" si="203">IFERROR(__xludf.DUMMYFUNCTION("iferror(lower(regexreplace(substitute(trim(if(C203="""",""empty"",C203)),"" "",""_""),""[^A-Za-z0-9_]"","""")))"),"empty")</f>
        <v>empty</v>
      </c>
      <c r="K203" s="19" t="str">
        <f t="shared" ca="1" si="203"/>
        <v>empty</v>
      </c>
      <c r="L203" s="19" t="str">
        <f t="shared" ca="1" si="203"/>
        <v>empty</v>
      </c>
      <c r="M203" s="19" t="str">
        <f t="shared" ca="1" si="203"/>
        <v>empty</v>
      </c>
    </row>
    <row r="204" spans="1:13" ht="15.5" x14ac:dyDescent="0.35">
      <c r="A204" s="17"/>
      <c r="B204" s="19"/>
      <c r="C204" s="19"/>
      <c r="D204" s="19"/>
      <c r="E204" s="19"/>
      <c r="F204" s="19"/>
      <c r="G204" s="13" t="s">
        <v>569</v>
      </c>
      <c r="H204" s="19" t="s">
        <v>569</v>
      </c>
      <c r="I204" s="19" t="str">
        <f t="shared" ca="1" si="1"/>
        <v>http://www.mohawkgroup.com</v>
      </c>
      <c r="J204" s="19" t="str">
        <f t="shared" ref="J204:M204" ca="1" si="204">IFERROR(__xludf.DUMMYFUNCTION("iferror(lower(regexreplace(substitute(trim(if(C204="""",""empty"",C204)),"" "",""_""),""[^A-Za-z0-9_]"","""")))"),"empty")</f>
        <v>empty</v>
      </c>
      <c r="K204" s="19" t="str">
        <f t="shared" ca="1" si="204"/>
        <v>empty</v>
      </c>
      <c r="L204" s="19" t="str">
        <f t="shared" ca="1" si="204"/>
        <v>empty</v>
      </c>
      <c r="M204" s="19" t="str">
        <f t="shared" ca="1" si="204"/>
        <v>empty</v>
      </c>
    </row>
    <row r="205" spans="1:13" ht="15.5" x14ac:dyDescent="0.35">
      <c r="A205" s="17"/>
      <c r="B205" s="19"/>
      <c r="C205" s="19"/>
      <c r="D205" s="19"/>
      <c r="E205" s="19"/>
      <c r="F205" s="19"/>
      <c r="G205" s="13" t="s">
        <v>569</v>
      </c>
      <c r="H205" s="19" t="s">
        <v>569</v>
      </c>
      <c r="I205" s="19" t="str">
        <f t="shared" ca="1" si="1"/>
        <v>http://www.mohawkgroup.com</v>
      </c>
      <c r="J205" s="19" t="str">
        <f t="shared" ref="J205:M205" ca="1" si="205">IFERROR(__xludf.DUMMYFUNCTION("iferror(lower(regexreplace(substitute(trim(if(C205="""",""empty"",C205)),"" "",""_""),""[^A-Za-z0-9_]"","""")))"),"empty")</f>
        <v>empty</v>
      </c>
      <c r="K205" s="19" t="str">
        <f t="shared" ca="1" si="205"/>
        <v>empty</v>
      </c>
      <c r="L205" s="19" t="str">
        <f t="shared" ca="1" si="205"/>
        <v>empty</v>
      </c>
      <c r="M205" s="19" t="str">
        <f t="shared" ca="1" si="205"/>
        <v>empty</v>
      </c>
    </row>
    <row r="206" spans="1:13" ht="15.5" x14ac:dyDescent="0.35">
      <c r="A206" s="17"/>
      <c r="B206" s="19"/>
      <c r="C206" s="19"/>
      <c r="D206" s="19"/>
      <c r="E206" s="19"/>
      <c r="F206" s="19"/>
      <c r="G206" s="13" t="s">
        <v>569</v>
      </c>
      <c r="H206" s="19" t="s">
        <v>569</v>
      </c>
      <c r="I206" s="19" t="str">
        <f t="shared" ca="1" si="1"/>
        <v>http://www.mohawkgroup.com</v>
      </c>
      <c r="J206" s="19" t="str">
        <f t="shared" ref="J206:M206" ca="1" si="206">IFERROR(__xludf.DUMMYFUNCTION("iferror(lower(regexreplace(substitute(trim(if(C206="""",""empty"",C206)),"" "",""_""),""[^A-Za-z0-9_]"","""")))"),"empty")</f>
        <v>empty</v>
      </c>
      <c r="K206" s="19" t="str">
        <f t="shared" ca="1" si="206"/>
        <v>empty</v>
      </c>
      <c r="L206" s="19" t="str">
        <f t="shared" ca="1" si="206"/>
        <v>empty</v>
      </c>
      <c r="M206" s="19" t="str">
        <f t="shared" ca="1" si="206"/>
        <v>empty</v>
      </c>
    </row>
    <row r="207" spans="1:13" ht="15.5" x14ac:dyDescent="0.35">
      <c r="A207" s="17"/>
      <c r="B207" s="19"/>
      <c r="C207" s="19"/>
      <c r="D207" s="19"/>
      <c r="E207" s="19"/>
      <c r="F207" s="19"/>
      <c r="G207" s="13" t="s">
        <v>569</v>
      </c>
      <c r="H207" s="19" t="s">
        <v>569</v>
      </c>
      <c r="I207" s="19" t="str">
        <f t="shared" ca="1" si="1"/>
        <v>http://www.mohawkgroup.com</v>
      </c>
      <c r="J207" s="19" t="str">
        <f t="shared" ref="J207:M207" ca="1" si="207">IFERROR(__xludf.DUMMYFUNCTION("iferror(lower(regexreplace(substitute(trim(if(C207="""",""empty"",C207)),"" "",""_""),""[^A-Za-z0-9_]"","""")))"),"empty")</f>
        <v>empty</v>
      </c>
      <c r="K207" s="19" t="str">
        <f t="shared" ca="1" si="207"/>
        <v>empty</v>
      </c>
      <c r="L207" s="19" t="str">
        <f t="shared" ca="1" si="207"/>
        <v>empty</v>
      </c>
      <c r="M207" s="19" t="str">
        <f t="shared" ca="1" si="207"/>
        <v>empty</v>
      </c>
    </row>
    <row r="208" spans="1:13" ht="15.5" x14ac:dyDescent="0.35">
      <c r="A208" s="17"/>
      <c r="B208" s="19"/>
      <c r="C208" s="19"/>
      <c r="D208" s="19"/>
      <c r="E208" s="19"/>
      <c r="F208" s="19"/>
      <c r="G208" s="13" t="s">
        <v>569</v>
      </c>
      <c r="H208" s="19" t="s">
        <v>569</v>
      </c>
      <c r="I208" s="19" t="str">
        <f t="shared" ca="1" si="1"/>
        <v>http://www.mohawkgroup.com</v>
      </c>
      <c r="J208" s="19" t="str">
        <f t="shared" ref="J208:M208" ca="1" si="208">IFERROR(__xludf.DUMMYFUNCTION("iferror(lower(regexreplace(substitute(trim(if(C208="""",""empty"",C208)),"" "",""_""),""[^A-Za-z0-9_]"","""")))"),"empty")</f>
        <v>empty</v>
      </c>
      <c r="K208" s="19" t="str">
        <f t="shared" ca="1" si="208"/>
        <v>empty</v>
      </c>
      <c r="L208" s="19" t="str">
        <f t="shared" ca="1" si="208"/>
        <v>empty</v>
      </c>
      <c r="M208" s="19" t="str">
        <f t="shared" ca="1" si="208"/>
        <v>empty</v>
      </c>
    </row>
    <row r="209" spans="1:13" ht="15.5" x14ac:dyDescent="0.35">
      <c r="A209" s="17"/>
      <c r="B209" s="19"/>
      <c r="C209" s="19"/>
      <c r="D209" s="19"/>
      <c r="E209" s="19"/>
      <c r="F209" s="19"/>
      <c r="G209" s="13" t="s">
        <v>569</v>
      </c>
      <c r="H209" s="19" t="s">
        <v>569</v>
      </c>
      <c r="I209" s="19" t="str">
        <f t="shared" ca="1" si="1"/>
        <v>http://www.mohawkgroup.com</v>
      </c>
      <c r="J209" s="19" t="str">
        <f t="shared" ref="J209:M209" ca="1" si="209">IFERROR(__xludf.DUMMYFUNCTION("iferror(lower(regexreplace(substitute(trim(if(C209="""",""empty"",C209)),"" "",""_""),""[^A-Za-z0-9_]"","""")))"),"empty")</f>
        <v>empty</v>
      </c>
      <c r="K209" s="19" t="str">
        <f t="shared" ca="1" si="209"/>
        <v>empty</v>
      </c>
      <c r="L209" s="19" t="str">
        <f t="shared" ca="1" si="209"/>
        <v>empty</v>
      </c>
      <c r="M209" s="19" t="str">
        <f t="shared" ca="1" si="209"/>
        <v>empty</v>
      </c>
    </row>
    <row r="210" spans="1:13" ht="15.5" x14ac:dyDescent="0.35">
      <c r="A210" s="17"/>
      <c r="B210" s="19"/>
      <c r="C210" s="19"/>
      <c r="D210" s="19"/>
      <c r="E210" s="19"/>
      <c r="F210" s="19"/>
      <c r="G210" s="13" t="s">
        <v>569</v>
      </c>
      <c r="H210" s="19" t="s">
        <v>569</v>
      </c>
      <c r="I210" s="19" t="str">
        <f t="shared" ca="1" si="1"/>
        <v>http://www.mohawkgroup.com</v>
      </c>
      <c r="J210" s="19" t="str">
        <f t="shared" ref="J210:M210" ca="1" si="210">IFERROR(__xludf.DUMMYFUNCTION("iferror(lower(regexreplace(substitute(trim(if(C210="""",""empty"",C210)),"" "",""_""),""[^A-Za-z0-9_]"","""")))"),"empty")</f>
        <v>empty</v>
      </c>
      <c r="K210" s="19" t="str">
        <f t="shared" ca="1" si="210"/>
        <v>empty</v>
      </c>
      <c r="L210" s="19" t="str">
        <f t="shared" ca="1" si="210"/>
        <v>empty</v>
      </c>
      <c r="M210" s="19" t="str">
        <f t="shared" ca="1" si="210"/>
        <v>empty</v>
      </c>
    </row>
    <row r="211" spans="1:13" ht="15.5" x14ac:dyDescent="0.35">
      <c r="A211" s="17"/>
      <c r="B211" s="19"/>
      <c r="C211" s="19"/>
      <c r="D211" s="19"/>
      <c r="E211" s="19"/>
      <c r="F211" s="19"/>
      <c r="G211" s="13" t="s">
        <v>569</v>
      </c>
      <c r="H211" s="19" t="s">
        <v>569</v>
      </c>
      <c r="I211" s="19" t="str">
        <f t="shared" ca="1" si="1"/>
        <v>http://www.mohawkgroup.com</v>
      </c>
      <c r="J211" s="19" t="str">
        <f t="shared" ref="J211:M211" ca="1" si="211">IFERROR(__xludf.DUMMYFUNCTION("iferror(lower(regexreplace(substitute(trim(if(C211="""",""empty"",C211)),"" "",""_""),""[^A-Za-z0-9_]"","""")))"),"empty")</f>
        <v>empty</v>
      </c>
      <c r="K211" s="19" t="str">
        <f t="shared" ca="1" si="211"/>
        <v>empty</v>
      </c>
      <c r="L211" s="19" t="str">
        <f t="shared" ca="1" si="211"/>
        <v>empty</v>
      </c>
      <c r="M211" s="19" t="str">
        <f t="shared" ca="1" si="211"/>
        <v>empty</v>
      </c>
    </row>
    <row r="212" spans="1:13" ht="15.5" x14ac:dyDescent="0.35">
      <c r="A212" s="17"/>
      <c r="B212" s="19"/>
      <c r="C212" s="19"/>
      <c r="D212" s="19"/>
      <c r="E212" s="19"/>
      <c r="F212" s="19"/>
      <c r="G212" s="13" t="s">
        <v>569</v>
      </c>
      <c r="H212" s="19" t="s">
        <v>569</v>
      </c>
      <c r="I212" s="19" t="str">
        <f t="shared" ca="1" si="1"/>
        <v>http://www.mohawkgroup.com</v>
      </c>
      <c r="J212" s="19" t="str">
        <f t="shared" ref="J212:M212" ca="1" si="212">IFERROR(__xludf.DUMMYFUNCTION("iferror(lower(regexreplace(substitute(trim(if(C212="""",""empty"",C212)),"" "",""_""),""[^A-Za-z0-9_]"","""")))"),"empty")</f>
        <v>empty</v>
      </c>
      <c r="K212" s="19" t="str">
        <f t="shared" ca="1" si="212"/>
        <v>empty</v>
      </c>
      <c r="L212" s="19" t="str">
        <f t="shared" ca="1" si="212"/>
        <v>empty</v>
      </c>
      <c r="M212" s="19" t="str">
        <f t="shared" ca="1" si="212"/>
        <v>empty</v>
      </c>
    </row>
    <row r="213" spans="1:13" ht="15.5" x14ac:dyDescent="0.35">
      <c r="A213" s="17"/>
      <c r="B213" s="19"/>
      <c r="C213" s="19"/>
      <c r="D213" s="19"/>
      <c r="E213" s="19"/>
      <c r="F213" s="19"/>
      <c r="G213" s="13" t="s">
        <v>569</v>
      </c>
      <c r="H213" s="19" t="s">
        <v>569</v>
      </c>
      <c r="I213" s="19" t="str">
        <f t="shared" ca="1" si="1"/>
        <v>http://www.mohawkgroup.com</v>
      </c>
      <c r="J213" s="19" t="str">
        <f t="shared" ref="J213:M213" ca="1" si="213">IFERROR(__xludf.DUMMYFUNCTION("iferror(lower(regexreplace(substitute(trim(if(C213="""",""empty"",C213)),"" "",""_""),""[^A-Za-z0-9_]"","""")))"),"empty")</f>
        <v>empty</v>
      </c>
      <c r="K213" s="19" t="str">
        <f t="shared" ca="1" si="213"/>
        <v>empty</v>
      </c>
      <c r="L213" s="19" t="str">
        <f t="shared" ca="1" si="213"/>
        <v>empty</v>
      </c>
      <c r="M213" s="19" t="str">
        <f t="shared" ca="1" si="213"/>
        <v>empty</v>
      </c>
    </row>
    <row r="214" spans="1:13" ht="15.5" x14ac:dyDescent="0.35">
      <c r="A214" s="17"/>
      <c r="B214" s="19"/>
      <c r="C214" s="19"/>
      <c r="D214" s="19"/>
      <c r="E214" s="19"/>
      <c r="F214" s="19"/>
      <c r="G214" s="13" t="s">
        <v>569</v>
      </c>
      <c r="H214" s="19" t="s">
        <v>569</v>
      </c>
      <c r="I214" s="19" t="str">
        <f t="shared" ca="1" si="1"/>
        <v>http://www.mohawkgroup.com</v>
      </c>
      <c r="J214" s="19" t="str">
        <f t="shared" ref="J214:M214" ca="1" si="214">IFERROR(__xludf.DUMMYFUNCTION("iferror(lower(regexreplace(substitute(trim(if(C214="""",""empty"",C214)),"" "",""_""),""[^A-Za-z0-9_]"","""")))"),"empty")</f>
        <v>empty</v>
      </c>
      <c r="K214" s="19" t="str">
        <f t="shared" ca="1" si="214"/>
        <v>empty</v>
      </c>
      <c r="L214" s="19" t="str">
        <f t="shared" ca="1" si="214"/>
        <v>empty</v>
      </c>
      <c r="M214" s="19" t="str">
        <f t="shared" ca="1" si="214"/>
        <v>empty</v>
      </c>
    </row>
    <row r="215" spans="1:13" ht="15.5" x14ac:dyDescent="0.35">
      <c r="A215" s="17"/>
      <c r="B215" s="19"/>
      <c r="C215" s="19"/>
      <c r="D215" s="19"/>
      <c r="E215" s="19"/>
      <c r="F215" s="19"/>
      <c r="G215" s="13" t="s">
        <v>569</v>
      </c>
      <c r="H215" s="19" t="s">
        <v>569</v>
      </c>
      <c r="I215" s="19" t="str">
        <f t="shared" ca="1" si="1"/>
        <v>http://www.mohawkgroup.com</v>
      </c>
      <c r="J215" s="19" t="str">
        <f t="shared" ref="J215:M215" ca="1" si="215">IFERROR(__xludf.DUMMYFUNCTION("iferror(lower(regexreplace(substitute(trim(if(C215="""",""empty"",C215)),"" "",""_""),""[^A-Za-z0-9_]"","""")))"),"empty")</f>
        <v>empty</v>
      </c>
      <c r="K215" s="19" t="str">
        <f t="shared" ca="1" si="215"/>
        <v>empty</v>
      </c>
      <c r="L215" s="19" t="str">
        <f t="shared" ca="1" si="215"/>
        <v>empty</v>
      </c>
      <c r="M215" s="19" t="str">
        <f t="shared" ca="1" si="215"/>
        <v>empty</v>
      </c>
    </row>
    <row r="216" spans="1:13" ht="15.5" x14ac:dyDescent="0.35">
      <c r="A216" s="17"/>
      <c r="B216" s="19"/>
      <c r="C216" s="19"/>
      <c r="D216" s="19"/>
      <c r="E216" s="19"/>
      <c r="F216" s="19"/>
      <c r="G216" s="13" t="s">
        <v>569</v>
      </c>
      <c r="H216" s="19" t="s">
        <v>569</v>
      </c>
      <c r="I216" s="19" t="str">
        <f t="shared" ca="1" si="1"/>
        <v>http://www.mohawkgroup.com</v>
      </c>
      <c r="J216" s="19" t="str">
        <f t="shared" ref="J216:M216" ca="1" si="216">IFERROR(__xludf.DUMMYFUNCTION("iferror(lower(regexreplace(substitute(trim(if(C216="""",""empty"",C216)),"" "",""_""),""[^A-Za-z0-9_]"","""")))"),"empty")</f>
        <v>empty</v>
      </c>
      <c r="K216" s="19" t="str">
        <f t="shared" ca="1" si="216"/>
        <v>empty</v>
      </c>
      <c r="L216" s="19" t="str">
        <f t="shared" ca="1" si="216"/>
        <v>empty</v>
      </c>
      <c r="M216" s="19" t="str">
        <f t="shared" ca="1" si="216"/>
        <v>empty</v>
      </c>
    </row>
    <row r="217" spans="1:13" ht="15.5" x14ac:dyDescent="0.35">
      <c r="A217" s="17"/>
      <c r="B217" s="19"/>
      <c r="C217" s="19"/>
      <c r="D217" s="19"/>
      <c r="E217" s="19"/>
      <c r="F217" s="19"/>
      <c r="G217" s="13" t="s">
        <v>569</v>
      </c>
      <c r="H217" s="19" t="s">
        <v>569</v>
      </c>
      <c r="I217" s="19" t="str">
        <f t="shared" ca="1" si="1"/>
        <v>http://www.mohawkgroup.com</v>
      </c>
      <c r="J217" s="19" t="str">
        <f t="shared" ref="J217:M217" ca="1" si="217">IFERROR(__xludf.DUMMYFUNCTION("iferror(lower(regexreplace(substitute(trim(if(C217="""",""empty"",C217)),"" "",""_""),""[^A-Za-z0-9_]"","""")))"),"empty")</f>
        <v>empty</v>
      </c>
      <c r="K217" s="19" t="str">
        <f t="shared" ca="1" si="217"/>
        <v>empty</v>
      </c>
      <c r="L217" s="19" t="str">
        <f t="shared" ca="1" si="217"/>
        <v>empty</v>
      </c>
      <c r="M217" s="19" t="str">
        <f t="shared" ca="1" si="217"/>
        <v>empty</v>
      </c>
    </row>
    <row r="218" spans="1:13" ht="15.5" x14ac:dyDescent="0.35">
      <c r="A218" s="17"/>
      <c r="B218" s="19"/>
      <c r="C218" s="19"/>
      <c r="D218" s="19"/>
      <c r="E218" s="19"/>
      <c r="F218" s="19"/>
      <c r="G218" s="13" t="s">
        <v>569</v>
      </c>
      <c r="H218" s="19" t="s">
        <v>569</v>
      </c>
      <c r="I218" s="19" t="str">
        <f t="shared" ca="1" si="1"/>
        <v>http://www.mohawkgroup.com</v>
      </c>
      <c r="J218" s="19" t="str">
        <f t="shared" ref="J218:M218" ca="1" si="218">IFERROR(__xludf.DUMMYFUNCTION("iferror(lower(regexreplace(substitute(trim(if(C218="""",""empty"",C218)),"" "",""_""),""[^A-Za-z0-9_]"","""")))"),"empty")</f>
        <v>empty</v>
      </c>
      <c r="K218" s="19" t="str">
        <f t="shared" ca="1" si="218"/>
        <v>empty</v>
      </c>
      <c r="L218" s="19" t="str">
        <f t="shared" ca="1" si="218"/>
        <v>empty</v>
      </c>
      <c r="M218" s="19" t="str">
        <f t="shared" ca="1" si="218"/>
        <v>empty</v>
      </c>
    </row>
    <row r="219" spans="1:13" ht="15.5" x14ac:dyDescent="0.35">
      <c r="A219" s="17"/>
      <c r="B219" s="19"/>
      <c r="C219" s="19"/>
      <c r="D219" s="19"/>
      <c r="E219" s="19"/>
      <c r="F219" s="19"/>
      <c r="G219" s="13" t="s">
        <v>569</v>
      </c>
      <c r="H219" s="19" t="s">
        <v>569</v>
      </c>
      <c r="I219" s="19" t="str">
        <f t="shared" ca="1" si="1"/>
        <v>http://www.mohawkgroup.com</v>
      </c>
      <c r="J219" s="19" t="str">
        <f t="shared" ref="J219:M219" ca="1" si="219">IFERROR(__xludf.DUMMYFUNCTION("iferror(lower(regexreplace(substitute(trim(if(C219="""",""empty"",C219)),"" "",""_""),""[^A-Za-z0-9_]"","""")))"),"empty")</f>
        <v>empty</v>
      </c>
      <c r="K219" s="19" t="str">
        <f t="shared" ca="1" si="219"/>
        <v>empty</v>
      </c>
      <c r="L219" s="19" t="str">
        <f t="shared" ca="1" si="219"/>
        <v>empty</v>
      </c>
      <c r="M219" s="19" t="str">
        <f t="shared" ca="1" si="219"/>
        <v>empty</v>
      </c>
    </row>
    <row r="220" spans="1:13" ht="15.5" x14ac:dyDescent="0.35">
      <c r="A220" s="17"/>
      <c r="B220" s="19"/>
      <c r="C220" s="19"/>
      <c r="D220" s="19"/>
      <c r="E220" s="19"/>
      <c r="F220" s="19"/>
      <c r="G220" s="13" t="s">
        <v>569</v>
      </c>
      <c r="H220" s="19" t="s">
        <v>569</v>
      </c>
      <c r="I220" s="19" t="str">
        <f t="shared" ca="1" si="1"/>
        <v>http://www.mohawkgroup.com</v>
      </c>
      <c r="J220" s="19" t="str">
        <f t="shared" ref="J220:M220" ca="1" si="220">IFERROR(__xludf.DUMMYFUNCTION("iferror(lower(regexreplace(substitute(trim(if(C220="""",""empty"",C220)),"" "",""_""),""[^A-Za-z0-9_]"","""")))"),"empty")</f>
        <v>empty</v>
      </c>
      <c r="K220" s="19" t="str">
        <f t="shared" ca="1" si="220"/>
        <v>empty</v>
      </c>
      <c r="L220" s="19" t="str">
        <f t="shared" ca="1" si="220"/>
        <v>empty</v>
      </c>
      <c r="M220" s="19" t="str">
        <f t="shared" ca="1" si="220"/>
        <v>empty</v>
      </c>
    </row>
    <row r="221" spans="1:13" ht="15.5" x14ac:dyDescent="0.35">
      <c r="A221" s="17"/>
      <c r="B221" s="19"/>
      <c r="C221" s="19"/>
      <c r="D221" s="19"/>
      <c r="E221" s="19"/>
      <c r="F221" s="19"/>
      <c r="G221" s="13" t="s">
        <v>569</v>
      </c>
      <c r="H221" s="19" t="s">
        <v>569</v>
      </c>
      <c r="I221" s="19" t="str">
        <f t="shared" ca="1" si="1"/>
        <v>http://www.mohawkgroup.com</v>
      </c>
      <c r="J221" s="19" t="str">
        <f t="shared" ref="J221:M221" ca="1" si="221">IFERROR(__xludf.DUMMYFUNCTION("iferror(lower(regexreplace(substitute(trim(if(C221="""",""empty"",C221)),"" "",""_""),""[^A-Za-z0-9_]"","""")))"),"empty")</f>
        <v>empty</v>
      </c>
      <c r="K221" s="19" t="str">
        <f t="shared" ca="1" si="221"/>
        <v>empty</v>
      </c>
      <c r="L221" s="19" t="str">
        <f t="shared" ca="1" si="221"/>
        <v>empty</v>
      </c>
      <c r="M221" s="19" t="str">
        <f t="shared" ca="1" si="221"/>
        <v>empty</v>
      </c>
    </row>
    <row r="222" spans="1:13" ht="15.5" x14ac:dyDescent="0.35">
      <c r="A222" s="17"/>
      <c r="B222" s="19"/>
      <c r="C222" s="19"/>
      <c r="D222" s="19"/>
      <c r="E222" s="19"/>
      <c r="F222" s="19"/>
      <c r="G222" s="13" t="s">
        <v>569</v>
      </c>
      <c r="H222" s="19" t="s">
        <v>569</v>
      </c>
      <c r="I222" s="19" t="str">
        <f t="shared" ca="1" si="1"/>
        <v>http://www.mohawkgroup.com</v>
      </c>
      <c r="J222" s="19" t="str">
        <f t="shared" ref="J222:M222" ca="1" si="222">IFERROR(__xludf.DUMMYFUNCTION("iferror(lower(regexreplace(substitute(trim(if(C222="""",""empty"",C222)),"" "",""_""),""[^A-Za-z0-9_]"","""")))"),"empty")</f>
        <v>empty</v>
      </c>
      <c r="K222" s="19" t="str">
        <f t="shared" ca="1" si="222"/>
        <v>empty</v>
      </c>
      <c r="L222" s="19" t="str">
        <f t="shared" ca="1" si="222"/>
        <v>empty</v>
      </c>
      <c r="M222" s="19" t="str">
        <f t="shared" ca="1" si="222"/>
        <v>empty</v>
      </c>
    </row>
    <row r="223" spans="1:13" ht="15.5" x14ac:dyDescent="0.35">
      <c r="A223" s="17"/>
      <c r="B223" s="19"/>
      <c r="C223" s="19"/>
      <c r="D223" s="19"/>
      <c r="E223" s="19"/>
      <c r="F223" s="19"/>
      <c r="G223" s="13" t="s">
        <v>569</v>
      </c>
      <c r="H223" s="19" t="s">
        <v>569</v>
      </c>
      <c r="I223" s="19" t="str">
        <f t="shared" ca="1" si="1"/>
        <v>http://www.mohawkgroup.com</v>
      </c>
      <c r="J223" s="19" t="str">
        <f t="shared" ref="J223:M223" ca="1" si="223">IFERROR(__xludf.DUMMYFUNCTION("iferror(lower(regexreplace(substitute(trim(if(C223="""",""empty"",C223)),"" "",""_""),""[^A-Za-z0-9_]"","""")))"),"empty")</f>
        <v>empty</v>
      </c>
      <c r="K223" s="19" t="str">
        <f t="shared" ca="1" si="223"/>
        <v>empty</v>
      </c>
      <c r="L223" s="19" t="str">
        <f t="shared" ca="1" si="223"/>
        <v>empty</v>
      </c>
      <c r="M223" s="19" t="str">
        <f t="shared" ca="1" si="223"/>
        <v>empty</v>
      </c>
    </row>
    <row r="224" spans="1:13" ht="15.5" x14ac:dyDescent="0.35">
      <c r="A224" s="17"/>
      <c r="B224" s="19"/>
      <c r="C224" s="19"/>
      <c r="D224" s="19"/>
      <c r="E224" s="19"/>
      <c r="F224" s="19"/>
      <c r="G224" s="13" t="s">
        <v>569</v>
      </c>
      <c r="H224" s="19" t="s">
        <v>569</v>
      </c>
      <c r="I224" s="19" t="str">
        <f t="shared" ca="1" si="1"/>
        <v>http://www.mohawkgroup.com</v>
      </c>
      <c r="J224" s="19" t="str">
        <f t="shared" ref="J224:M224" ca="1" si="224">IFERROR(__xludf.DUMMYFUNCTION("iferror(lower(regexreplace(substitute(trim(if(C224="""",""empty"",C224)),"" "",""_""),""[^A-Za-z0-9_]"","""")))"),"empty")</f>
        <v>empty</v>
      </c>
      <c r="K224" s="19" t="str">
        <f t="shared" ca="1" si="224"/>
        <v>empty</v>
      </c>
      <c r="L224" s="19" t="str">
        <f t="shared" ca="1" si="224"/>
        <v>empty</v>
      </c>
      <c r="M224" s="19" t="str">
        <f t="shared" ca="1" si="224"/>
        <v>empty</v>
      </c>
    </row>
    <row r="225" spans="1:13" ht="15.5" x14ac:dyDescent="0.35">
      <c r="A225" s="17"/>
      <c r="B225" s="19"/>
      <c r="C225" s="19"/>
      <c r="D225" s="19"/>
      <c r="E225" s="19"/>
      <c r="F225" s="19"/>
      <c r="G225" s="13" t="s">
        <v>569</v>
      </c>
      <c r="H225" s="19" t="s">
        <v>569</v>
      </c>
      <c r="I225" s="19" t="str">
        <f t="shared" ca="1" si="1"/>
        <v>http://www.mohawkgroup.com</v>
      </c>
      <c r="J225" s="19" t="str">
        <f t="shared" ref="J225:M225" ca="1" si="225">IFERROR(__xludf.DUMMYFUNCTION("iferror(lower(regexreplace(substitute(trim(if(C225="""",""empty"",C225)),"" "",""_""),""[^A-Za-z0-9_]"","""")))"),"empty")</f>
        <v>empty</v>
      </c>
      <c r="K225" s="19" t="str">
        <f t="shared" ca="1" si="225"/>
        <v>empty</v>
      </c>
      <c r="L225" s="19" t="str">
        <f t="shared" ca="1" si="225"/>
        <v>empty</v>
      </c>
      <c r="M225" s="19" t="str">
        <f t="shared" ca="1" si="225"/>
        <v>empty</v>
      </c>
    </row>
    <row r="226" spans="1:13" ht="15.5" x14ac:dyDescent="0.35">
      <c r="A226" s="17"/>
      <c r="B226" s="19"/>
      <c r="C226" s="19"/>
      <c r="D226" s="19"/>
      <c r="E226" s="19"/>
      <c r="F226" s="19"/>
      <c r="G226" s="13" t="s">
        <v>569</v>
      </c>
      <c r="H226" s="19" t="s">
        <v>569</v>
      </c>
      <c r="I226" s="19" t="str">
        <f t="shared" ca="1" si="1"/>
        <v>http://www.mohawkgroup.com</v>
      </c>
      <c r="J226" s="19" t="str">
        <f t="shared" ref="J226:M226" ca="1" si="226">IFERROR(__xludf.DUMMYFUNCTION("iferror(lower(regexreplace(substitute(trim(if(C226="""",""empty"",C226)),"" "",""_""),""[^A-Za-z0-9_]"","""")))"),"empty")</f>
        <v>empty</v>
      </c>
      <c r="K226" s="19" t="str">
        <f t="shared" ca="1" si="226"/>
        <v>empty</v>
      </c>
      <c r="L226" s="19" t="str">
        <f t="shared" ca="1" si="226"/>
        <v>empty</v>
      </c>
      <c r="M226" s="19" t="str">
        <f t="shared" ca="1" si="226"/>
        <v>empty</v>
      </c>
    </row>
    <row r="227" spans="1:13" ht="15.5" x14ac:dyDescent="0.35">
      <c r="A227" s="17"/>
      <c r="B227" s="19"/>
      <c r="C227" s="19"/>
      <c r="D227" s="19"/>
      <c r="E227" s="19"/>
      <c r="F227" s="19"/>
      <c r="G227" s="13" t="s">
        <v>569</v>
      </c>
      <c r="H227" s="19" t="s">
        <v>569</v>
      </c>
      <c r="I227" s="19" t="str">
        <f t="shared" ca="1" si="1"/>
        <v>http://www.mohawkgroup.com</v>
      </c>
      <c r="J227" s="19" t="str">
        <f t="shared" ref="J227:M227" ca="1" si="227">IFERROR(__xludf.DUMMYFUNCTION("iferror(lower(regexreplace(substitute(trim(if(C227="""",""empty"",C227)),"" "",""_""),""[^A-Za-z0-9_]"","""")))"),"empty")</f>
        <v>empty</v>
      </c>
      <c r="K227" s="19" t="str">
        <f t="shared" ca="1" si="227"/>
        <v>empty</v>
      </c>
      <c r="L227" s="19" t="str">
        <f t="shared" ca="1" si="227"/>
        <v>empty</v>
      </c>
      <c r="M227" s="19" t="str">
        <f t="shared" ca="1" si="227"/>
        <v>empty</v>
      </c>
    </row>
    <row r="228" spans="1:13" ht="15.5" x14ac:dyDescent="0.35">
      <c r="A228" s="17"/>
      <c r="B228" s="19"/>
      <c r="C228" s="19"/>
      <c r="D228" s="19"/>
      <c r="E228" s="19"/>
      <c r="F228" s="19"/>
      <c r="G228" s="13" t="s">
        <v>569</v>
      </c>
      <c r="H228" s="19" t="s">
        <v>569</v>
      </c>
      <c r="I228" s="19" t="str">
        <f t="shared" ca="1" si="1"/>
        <v>http://www.mohawkgroup.com</v>
      </c>
      <c r="J228" s="19" t="str">
        <f t="shared" ref="J228:M228" ca="1" si="228">IFERROR(__xludf.DUMMYFUNCTION("iferror(lower(regexreplace(substitute(trim(if(C228="""",""empty"",C228)),"" "",""_""),""[^A-Za-z0-9_]"","""")))"),"empty")</f>
        <v>empty</v>
      </c>
      <c r="K228" s="19" t="str">
        <f t="shared" ca="1" si="228"/>
        <v>empty</v>
      </c>
      <c r="L228" s="19" t="str">
        <f t="shared" ca="1" si="228"/>
        <v>empty</v>
      </c>
      <c r="M228" s="19" t="str">
        <f t="shared" ca="1" si="228"/>
        <v>empty</v>
      </c>
    </row>
    <row r="229" spans="1:13" ht="15.5" x14ac:dyDescent="0.35">
      <c r="A229" s="17"/>
      <c r="B229" s="19"/>
      <c r="C229" s="19"/>
      <c r="D229" s="19"/>
      <c r="E229" s="19"/>
      <c r="F229" s="19"/>
      <c r="G229" s="13" t="s">
        <v>569</v>
      </c>
      <c r="H229" s="19" t="s">
        <v>569</v>
      </c>
      <c r="I229" s="19" t="str">
        <f t="shared" ca="1" si="1"/>
        <v>http://www.mohawkgroup.com</v>
      </c>
      <c r="J229" s="19" t="str">
        <f t="shared" ref="J229:M229" ca="1" si="229">IFERROR(__xludf.DUMMYFUNCTION("iferror(lower(regexreplace(substitute(trim(if(C229="""",""empty"",C229)),"" "",""_""),""[^A-Za-z0-9_]"","""")))"),"empty")</f>
        <v>empty</v>
      </c>
      <c r="K229" s="19" t="str">
        <f t="shared" ca="1" si="229"/>
        <v>empty</v>
      </c>
      <c r="L229" s="19" t="str">
        <f t="shared" ca="1" si="229"/>
        <v>empty</v>
      </c>
      <c r="M229" s="19" t="str">
        <f t="shared" ca="1" si="229"/>
        <v>empty</v>
      </c>
    </row>
    <row r="230" spans="1:13" ht="15.5" x14ac:dyDescent="0.35">
      <c r="A230" s="17"/>
      <c r="B230" s="19"/>
      <c r="C230" s="19"/>
      <c r="D230" s="19"/>
      <c r="E230" s="19"/>
      <c r="F230" s="19"/>
      <c r="G230" s="13" t="s">
        <v>569</v>
      </c>
      <c r="H230" s="19" t="s">
        <v>569</v>
      </c>
      <c r="I230" s="19" t="str">
        <f t="shared" ca="1" si="1"/>
        <v>http://www.mohawkgroup.com</v>
      </c>
      <c r="J230" s="19" t="str">
        <f t="shared" ref="J230:M230" ca="1" si="230">IFERROR(__xludf.DUMMYFUNCTION("iferror(lower(regexreplace(substitute(trim(if(C230="""",""empty"",C230)),"" "",""_""),""[^A-Za-z0-9_]"","""")))"),"empty")</f>
        <v>empty</v>
      </c>
      <c r="K230" s="19" t="str">
        <f t="shared" ca="1" si="230"/>
        <v>empty</v>
      </c>
      <c r="L230" s="19" t="str">
        <f t="shared" ca="1" si="230"/>
        <v>empty</v>
      </c>
      <c r="M230" s="19" t="str">
        <f t="shared" ca="1" si="230"/>
        <v>empty</v>
      </c>
    </row>
    <row r="231" spans="1:13" ht="15.5" x14ac:dyDescent="0.35">
      <c r="A231" s="17"/>
      <c r="B231" s="19"/>
      <c r="C231" s="19"/>
      <c r="D231" s="19"/>
      <c r="E231" s="19"/>
      <c r="F231" s="19"/>
      <c r="G231" s="13" t="s">
        <v>569</v>
      </c>
      <c r="H231" s="19" t="s">
        <v>569</v>
      </c>
      <c r="I231" s="19" t="str">
        <f t="shared" ca="1" si="1"/>
        <v>http://www.mohawkgroup.com</v>
      </c>
      <c r="J231" s="19" t="str">
        <f t="shared" ref="J231:M231" ca="1" si="231">IFERROR(__xludf.DUMMYFUNCTION("iferror(lower(regexreplace(substitute(trim(if(C231="""",""empty"",C231)),"" "",""_""),""[^A-Za-z0-9_]"","""")))"),"empty")</f>
        <v>empty</v>
      </c>
      <c r="K231" s="19" t="str">
        <f t="shared" ca="1" si="231"/>
        <v>empty</v>
      </c>
      <c r="L231" s="19" t="str">
        <f t="shared" ca="1" si="231"/>
        <v>empty</v>
      </c>
      <c r="M231" s="19" t="str">
        <f t="shared" ca="1" si="231"/>
        <v>empty</v>
      </c>
    </row>
    <row r="232" spans="1:13" ht="15.5" x14ac:dyDescent="0.35">
      <c r="A232" s="17"/>
      <c r="B232" s="19"/>
      <c r="C232" s="19"/>
      <c r="D232" s="19"/>
      <c r="E232" s="19"/>
      <c r="F232" s="19"/>
      <c r="G232" s="13" t="s">
        <v>569</v>
      </c>
      <c r="H232" s="19" t="s">
        <v>569</v>
      </c>
      <c r="I232" s="19" t="str">
        <f t="shared" ca="1" si="1"/>
        <v>http://www.mohawkgroup.com</v>
      </c>
      <c r="J232" s="19" t="str">
        <f t="shared" ref="J232:M232" ca="1" si="232">IFERROR(__xludf.DUMMYFUNCTION("iferror(lower(regexreplace(substitute(trim(if(C232="""",""empty"",C232)),"" "",""_""),""[^A-Za-z0-9_]"","""")))"),"empty")</f>
        <v>empty</v>
      </c>
      <c r="K232" s="19" t="str">
        <f t="shared" ca="1" si="232"/>
        <v>empty</v>
      </c>
      <c r="L232" s="19" t="str">
        <f t="shared" ca="1" si="232"/>
        <v>empty</v>
      </c>
      <c r="M232" s="19" t="str">
        <f t="shared" ca="1" si="232"/>
        <v>empty</v>
      </c>
    </row>
    <row r="233" spans="1:13" ht="15.5" x14ac:dyDescent="0.35">
      <c r="A233" s="17"/>
      <c r="B233" s="19"/>
      <c r="C233" s="19"/>
      <c r="D233" s="19"/>
      <c r="E233" s="19"/>
      <c r="F233" s="19"/>
      <c r="G233" s="13" t="s">
        <v>569</v>
      </c>
      <c r="H233" s="19" t="s">
        <v>569</v>
      </c>
      <c r="I233" s="19" t="str">
        <f t="shared" ca="1" si="1"/>
        <v>http://www.mohawkgroup.com</v>
      </c>
      <c r="J233" s="19" t="str">
        <f t="shared" ref="J233:M233" ca="1" si="233">IFERROR(__xludf.DUMMYFUNCTION("iferror(lower(regexreplace(substitute(trim(if(C233="""",""empty"",C233)),"" "",""_""),""[^A-Za-z0-9_]"","""")))"),"empty")</f>
        <v>empty</v>
      </c>
      <c r="K233" s="19" t="str">
        <f t="shared" ca="1" si="233"/>
        <v>empty</v>
      </c>
      <c r="L233" s="19" t="str">
        <f t="shared" ca="1" si="233"/>
        <v>empty</v>
      </c>
      <c r="M233" s="19" t="str">
        <f t="shared" ca="1" si="233"/>
        <v>empty</v>
      </c>
    </row>
    <row r="234" spans="1:13" ht="15.5" x14ac:dyDescent="0.35">
      <c r="A234" s="17"/>
      <c r="B234" s="19"/>
      <c r="C234" s="19"/>
      <c r="D234" s="19"/>
      <c r="E234" s="19"/>
      <c r="F234" s="19"/>
      <c r="G234" s="13" t="s">
        <v>569</v>
      </c>
      <c r="H234" s="19" t="s">
        <v>569</v>
      </c>
      <c r="I234" s="19" t="str">
        <f t="shared" ca="1" si="1"/>
        <v>http://www.mohawkgroup.com</v>
      </c>
      <c r="J234" s="19" t="str">
        <f t="shared" ref="J234:M234" ca="1" si="234">IFERROR(__xludf.DUMMYFUNCTION("iferror(lower(regexreplace(substitute(trim(if(C234="""",""empty"",C234)),"" "",""_""),""[^A-Za-z0-9_]"","""")))"),"empty")</f>
        <v>empty</v>
      </c>
      <c r="K234" s="19" t="str">
        <f t="shared" ca="1" si="234"/>
        <v>empty</v>
      </c>
      <c r="L234" s="19" t="str">
        <f t="shared" ca="1" si="234"/>
        <v>empty</v>
      </c>
      <c r="M234" s="19" t="str">
        <f t="shared" ca="1" si="234"/>
        <v>empty</v>
      </c>
    </row>
    <row r="235" spans="1:13" ht="15.5" x14ac:dyDescent="0.35">
      <c r="A235" s="17"/>
      <c r="B235" s="19"/>
      <c r="C235" s="19"/>
      <c r="D235" s="19"/>
      <c r="E235" s="19"/>
      <c r="F235" s="19"/>
      <c r="G235" s="13" t="s">
        <v>569</v>
      </c>
      <c r="H235" s="19" t="s">
        <v>569</v>
      </c>
      <c r="I235" s="19" t="str">
        <f t="shared" ca="1" si="1"/>
        <v>http://www.mohawkgroup.com</v>
      </c>
      <c r="J235" s="19" t="str">
        <f t="shared" ref="J235:M235" ca="1" si="235">IFERROR(__xludf.DUMMYFUNCTION("iferror(lower(regexreplace(substitute(trim(if(C235="""",""empty"",C235)),"" "",""_""),""[^A-Za-z0-9_]"","""")))"),"empty")</f>
        <v>empty</v>
      </c>
      <c r="K235" s="19" t="str">
        <f t="shared" ca="1" si="235"/>
        <v>empty</v>
      </c>
      <c r="L235" s="19" t="str">
        <f t="shared" ca="1" si="235"/>
        <v>empty</v>
      </c>
      <c r="M235" s="19" t="str">
        <f t="shared" ca="1" si="235"/>
        <v>empty</v>
      </c>
    </row>
    <row r="236" spans="1:13" ht="15.5" x14ac:dyDescent="0.35">
      <c r="A236" s="17"/>
      <c r="B236" s="19"/>
      <c r="C236" s="19"/>
      <c r="D236" s="19"/>
      <c r="E236" s="19"/>
      <c r="F236" s="19"/>
      <c r="G236" s="13" t="s">
        <v>569</v>
      </c>
      <c r="H236" s="19" t="s">
        <v>569</v>
      </c>
      <c r="I236" s="19" t="str">
        <f t="shared" ca="1" si="1"/>
        <v>http://www.mohawkgroup.com</v>
      </c>
      <c r="J236" s="19" t="str">
        <f t="shared" ref="J236:M236" ca="1" si="236">IFERROR(__xludf.DUMMYFUNCTION("iferror(lower(regexreplace(substitute(trim(if(C236="""",""empty"",C236)),"" "",""_""),""[^A-Za-z0-9_]"","""")))"),"empty")</f>
        <v>empty</v>
      </c>
      <c r="K236" s="19" t="str">
        <f t="shared" ca="1" si="236"/>
        <v>empty</v>
      </c>
      <c r="L236" s="19" t="str">
        <f t="shared" ca="1" si="236"/>
        <v>empty</v>
      </c>
      <c r="M236" s="19" t="str">
        <f t="shared" ca="1" si="236"/>
        <v>empty</v>
      </c>
    </row>
    <row r="237" spans="1:13" ht="15.5" x14ac:dyDescent="0.35">
      <c r="A237" s="17"/>
      <c r="B237" s="19"/>
      <c r="C237" s="19"/>
      <c r="D237" s="19"/>
      <c r="E237" s="19"/>
      <c r="F237" s="19"/>
      <c r="G237" s="13" t="s">
        <v>569</v>
      </c>
      <c r="H237" s="19" t="s">
        <v>569</v>
      </c>
      <c r="I237" s="19" t="str">
        <f t="shared" ca="1" si="1"/>
        <v>http://www.mohawkgroup.com</v>
      </c>
      <c r="J237" s="19" t="str">
        <f t="shared" ref="J237:M237" ca="1" si="237">IFERROR(__xludf.DUMMYFUNCTION("iferror(lower(regexreplace(substitute(trim(if(C237="""",""empty"",C237)),"" "",""_""),""[^A-Za-z0-9_]"","""")))"),"empty")</f>
        <v>empty</v>
      </c>
      <c r="K237" s="19" t="str">
        <f t="shared" ca="1" si="237"/>
        <v>empty</v>
      </c>
      <c r="L237" s="19" t="str">
        <f t="shared" ca="1" si="237"/>
        <v>empty</v>
      </c>
      <c r="M237" s="19" t="str">
        <f t="shared" ca="1" si="237"/>
        <v>empty</v>
      </c>
    </row>
    <row r="238" spans="1:13" ht="15.5" x14ac:dyDescent="0.35">
      <c r="A238" s="17"/>
      <c r="B238" s="19"/>
      <c r="C238" s="19"/>
      <c r="D238" s="19"/>
      <c r="E238" s="19"/>
      <c r="F238" s="19"/>
      <c r="G238" s="13" t="s">
        <v>569</v>
      </c>
      <c r="H238" s="19" t="s">
        <v>569</v>
      </c>
      <c r="I238" s="19" t="str">
        <f t="shared" ca="1" si="1"/>
        <v>http://www.mohawkgroup.com</v>
      </c>
      <c r="J238" s="19" t="str">
        <f t="shared" ref="J238:M238" ca="1" si="238">IFERROR(__xludf.DUMMYFUNCTION("iferror(lower(regexreplace(substitute(trim(if(C238="""",""empty"",C238)),"" "",""_""),""[^A-Za-z0-9_]"","""")))"),"empty")</f>
        <v>empty</v>
      </c>
      <c r="K238" s="19" t="str">
        <f t="shared" ca="1" si="238"/>
        <v>empty</v>
      </c>
      <c r="L238" s="19" t="str">
        <f t="shared" ca="1" si="238"/>
        <v>empty</v>
      </c>
      <c r="M238" s="19" t="str">
        <f t="shared" ca="1" si="238"/>
        <v>empty</v>
      </c>
    </row>
    <row r="239" spans="1:13" ht="15.5" x14ac:dyDescent="0.35">
      <c r="A239" s="17"/>
      <c r="B239" s="19"/>
      <c r="C239" s="19"/>
      <c r="D239" s="19"/>
      <c r="E239" s="19"/>
      <c r="F239" s="19"/>
      <c r="G239" s="13" t="s">
        <v>569</v>
      </c>
      <c r="H239" s="19" t="s">
        <v>569</v>
      </c>
      <c r="I239" s="19" t="str">
        <f t="shared" ca="1" si="1"/>
        <v>http://www.mohawkgroup.com</v>
      </c>
      <c r="J239" s="19" t="str">
        <f t="shared" ref="J239:M239" ca="1" si="239">IFERROR(__xludf.DUMMYFUNCTION("iferror(lower(regexreplace(substitute(trim(if(C239="""",""empty"",C239)),"" "",""_""),""[^A-Za-z0-9_]"","""")))"),"empty")</f>
        <v>empty</v>
      </c>
      <c r="K239" s="19" t="str">
        <f t="shared" ca="1" si="239"/>
        <v>empty</v>
      </c>
      <c r="L239" s="19" t="str">
        <f t="shared" ca="1" si="239"/>
        <v>empty</v>
      </c>
      <c r="M239" s="19" t="str">
        <f t="shared" ca="1" si="239"/>
        <v>empty</v>
      </c>
    </row>
    <row r="240" spans="1:13" ht="15.5" x14ac:dyDescent="0.35">
      <c r="A240" s="17"/>
      <c r="B240" s="19"/>
      <c r="C240" s="19"/>
      <c r="D240" s="19"/>
      <c r="E240" s="19"/>
      <c r="F240" s="19"/>
      <c r="G240" s="13" t="s">
        <v>569</v>
      </c>
      <c r="H240" s="19" t="s">
        <v>569</v>
      </c>
      <c r="I240" s="19" t="str">
        <f t="shared" ca="1" si="1"/>
        <v>http://www.mohawkgroup.com</v>
      </c>
      <c r="J240" s="19" t="str">
        <f t="shared" ref="J240:M240" ca="1" si="240">IFERROR(__xludf.DUMMYFUNCTION("iferror(lower(regexreplace(substitute(trim(if(C240="""",""empty"",C240)),"" "",""_""),""[^A-Za-z0-9_]"","""")))"),"empty")</f>
        <v>empty</v>
      </c>
      <c r="K240" s="19" t="str">
        <f t="shared" ca="1" si="240"/>
        <v>empty</v>
      </c>
      <c r="L240" s="19" t="str">
        <f t="shared" ca="1" si="240"/>
        <v>empty</v>
      </c>
      <c r="M240" s="19" t="str">
        <f t="shared" ca="1" si="240"/>
        <v>empty</v>
      </c>
    </row>
    <row r="241" spans="1:13" ht="15.5" x14ac:dyDescent="0.35">
      <c r="A241" s="17"/>
      <c r="B241" s="19"/>
      <c r="C241" s="19"/>
      <c r="D241" s="19"/>
      <c r="E241" s="19"/>
      <c r="F241" s="19"/>
      <c r="G241" s="13" t="s">
        <v>569</v>
      </c>
      <c r="H241" s="19" t="s">
        <v>569</v>
      </c>
      <c r="I241" s="19" t="str">
        <f t="shared" ca="1" si="1"/>
        <v>http://www.mohawkgroup.com</v>
      </c>
      <c r="J241" s="19" t="str">
        <f t="shared" ref="J241:M241" ca="1" si="241">IFERROR(__xludf.DUMMYFUNCTION("iferror(lower(regexreplace(substitute(trim(if(C241="""",""empty"",C241)),"" "",""_""),""[^A-Za-z0-9_]"","""")))"),"empty")</f>
        <v>empty</v>
      </c>
      <c r="K241" s="19" t="str">
        <f t="shared" ca="1" si="241"/>
        <v>empty</v>
      </c>
      <c r="L241" s="19" t="str">
        <f t="shared" ca="1" si="241"/>
        <v>empty</v>
      </c>
      <c r="M241" s="19" t="str">
        <f t="shared" ca="1" si="241"/>
        <v>empty</v>
      </c>
    </row>
    <row r="242" spans="1:13" ht="15.5" x14ac:dyDescent="0.35">
      <c r="A242" s="17"/>
      <c r="B242" s="19"/>
      <c r="C242" s="19"/>
      <c r="D242" s="19"/>
      <c r="E242" s="19"/>
      <c r="F242" s="19"/>
      <c r="G242" s="13" t="s">
        <v>569</v>
      </c>
      <c r="H242" s="19" t="s">
        <v>569</v>
      </c>
      <c r="I242" s="19" t="str">
        <f t="shared" ca="1" si="1"/>
        <v>http://www.mohawkgroup.com</v>
      </c>
      <c r="J242" s="19" t="str">
        <f t="shared" ref="J242:M242" ca="1" si="242">IFERROR(__xludf.DUMMYFUNCTION("iferror(lower(regexreplace(substitute(trim(if(C242="""",""empty"",C242)),"" "",""_""),""[^A-Za-z0-9_]"","""")))"),"empty")</f>
        <v>empty</v>
      </c>
      <c r="K242" s="19" t="str">
        <f t="shared" ca="1" si="242"/>
        <v>empty</v>
      </c>
      <c r="L242" s="19" t="str">
        <f t="shared" ca="1" si="242"/>
        <v>empty</v>
      </c>
      <c r="M242" s="19" t="str">
        <f t="shared" ca="1" si="242"/>
        <v>empty</v>
      </c>
    </row>
    <row r="243" spans="1:13" ht="15.5" x14ac:dyDescent="0.35">
      <c r="A243" s="17"/>
      <c r="B243" s="19"/>
      <c r="C243" s="19"/>
      <c r="D243" s="19"/>
      <c r="E243" s="19"/>
      <c r="F243" s="19"/>
      <c r="G243" s="13" t="s">
        <v>569</v>
      </c>
      <c r="H243" s="19" t="s">
        <v>569</v>
      </c>
      <c r="I243" s="19" t="str">
        <f t="shared" ca="1" si="1"/>
        <v>http://www.mohawkgroup.com</v>
      </c>
      <c r="J243" s="19" t="str">
        <f t="shared" ref="J243:M243" ca="1" si="243">IFERROR(__xludf.DUMMYFUNCTION("iferror(lower(regexreplace(substitute(trim(if(C243="""",""empty"",C243)),"" "",""_""),""[^A-Za-z0-9_]"","""")))"),"empty")</f>
        <v>empty</v>
      </c>
      <c r="K243" s="19" t="str">
        <f t="shared" ca="1" si="243"/>
        <v>empty</v>
      </c>
      <c r="L243" s="19" t="str">
        <f t="shared" ca="1" si="243"/>
        <v>empty</v>
      </c>
      <c r="M243" s="19" t="str">
        <f t="shared" ca="1" si="243"/>
        <v>empty</v>
      </c>
    </row>
    <row r="244" spans="1:13" ht="15.5" x14ac:dyDescent="0.35">
      <c r="A244" s="17"/>
      <c r="B244" s="19"/>
      <c r="C244" s="19"/>
      <c r="D244" s="19"/>
      <c r="E244" s="19"/>
      <c r="F244" s="19"/>
      <c r="G244" s="13" t="s">
        <v>569</v>
      </c>
      <c r="H244" s="19" t="s">
        <v>569</v>
      </c>
      <c r="I244" s="19" t="str">
        <f t="shared" ca="1" si="1"/>
        <v>http://www.mohawkgroup.com</v>
      </c>
      <c r="J244" s="19" t="str">
        <f t="shared" ref="J244:M244" ca="1" si="244">IFERROR(__xludf.DUMMYFUNCTION("iferror(lower(regexreplace(substitute(trim(if(C244="""",""empty"",C244)),"" "",""_""),""[^A-Za-z0-9_]"","""")))"),"empty")</f>
        <v>empty</v>
      </c>
      <c r="K244" s="19" t="str">
        <f t="shared" ca="1" si="244"/>
        <v>empty</v>
      </c>
      <c r="L244" s="19" t="str">
        <f t="shared" ca="1" si="244"/>
        <v>empty</v>
      </c>
      <c r="M244" s="19" t="str">
        <f t="shared" ca="1" si="244"/>
        <v>empty</v>
      </c>
    </row>
    <row r="245" spans="1:13" ht="15.5" x14ac:dyDescent="0.35">
      <c r="A245" s="17"/>
      <c r="B245" s="19"/>
      <c r="C245" s="19"/>
      <c r="D245" s="19"/>
      <c r="E245" s="19"/>
      <c r="F245" s="19"/>
      <c r="G245" s="13" t="s">
        <v>569</v>
      </c>
      <c r="H245" s="19" t="s">
        <v>569</v>
      </c>
      <c r="I245" s="19" t="str">
        <f t="shared" ca="1" si="1"/>
        <v>http://www.mohawkgroup.com</v>
      </c>
      <c r="J245" s="19" t="str">
        <f t="shared" ref="J245:M245" ca="1" si="245">IFERROR(__xludf.DUMMYFUNCTION("iferror(lower(regexreplace(substitute(trim(if(C245="""",""empty"",C245)),"" "",""_""),""[^A-Za-z0-9_]"","""")))"),"empty")</f>
        <v>empty</v>
      </c>
      <c r="K245" s="19" t="str">
        <f t="shared" ca="1" si="245"/>
        <v>empty</v>
      </c>
      <c r="L245" s="19" t="str">
        <f t="shared" ca="1" si="245"/>
        <v>empty</v>
      </c>
      <c r="M245" s="19" t="str">
        <f t="shared" ca="1" si="245"/>
        <v>empty</v>
      </c>
    </row>
    <row r="246" spans="1:13" ht="15.5" x14ac:dyDescent="0.35">
      <c r="A246" s="17"/>
      <c r="B246" s="19"/>
      <c r="C246" s="19"/>
      <c r="D246" s="19"/>
      <c r="E246" s="19"/>
      <c r="F246" s="19"/>
      <c r="G246" s="13" t="s">
        <v>569</v>
      </c>
      <c r="H246" s="19" t="s">
        <v>569</v>
      </c>
      <c r="I246" s="19" t="str">
        <f t="shared" ca="1" si="1"/>
        <v>http://www.mohawkgroup.com</v>
      </c>
      <c r="J246" s="19" t="str">
        <f t="shared" ref="J246:M246" ca="1" si="246">IFERROR(__xludf.DUMMYFUNCTION("iferror(lower(regexreplace(substitute(trim(if(C246="""",""empty"",C246)),"" "",""_""),""[^A-Za-z0-9_]"","""")))"),"empty")</f>
        <v>empty</v>
      </c>
      <c r="K246" s="19" t="str">
        <f t="shared" ca="1" si="246"/>
        <v>empty</v>
      </c>
      <c r="L246" s="19" t="str">
        <f t="shared" ca="1" si="246"/>
        <v>empty</v>
      </c>
      <c r="M246" s="19" t="str">
        <f t="shared" ca="1" si="246"/>
        <v>empty</v>
      </c>
    </row>
    <row r="247" spans="1:13" ht="15.5" x14ac:dyDescent="0.35">
      <c r="A247" s="17"/>
      <c r="B247" s="19"/>
      <c r="C247" s="19"/>
      <c r="D247" s="19"/>
      <c r="E247" s="19"/>
      <c r="F247" s="19"/>
      <c r="G247" s="13" t="s">
        <v>569</v>
      </c>
      <c r="H247" s="19" t="s">
        <v>569</v>
      </c>
      <c r="I247" s="19" t="str">
        <f t="shared" ca="1" si="1"/>
        <v>http://www.mohawkgroup.com</v>
      </c>
      <c r="J247" s="19" t="str">
        <f t="shared" ref="J247:M247" ca="1" si="247">IFERROR(__xludf.DUMMYFUNCTION("iferror(lower(regexreplace(substitute(trim(if(C247="""",""empty"",C247)),"" "",""_""),""[^A-Za-z0-9_]"","""")))"),"empty")</f>
        <v>empty</v>
      </c>
      <c r="K247" s="19" t="str">
        <f t="shared" ca="1" si="247"/>
        <v>empty</v>
      </c>
      <c r="L247" s="19" t="str">
        <f t="shared" ca="1" si="247"/>
        <v>empty</v>
      </c>
      <c r="M247" s="19" t="str">
        <f t="shared" ca="1" si="247"/>
        <v>empty</v>
      </c>
    </row>
    <row r="248" spans="1:13" ht="15.5" x14ac:dyDescent="0.35">
      <c r="A248" s="17"/>
      <c r="B248" s="19"/>
      <c r="C248" s="19"/>
      <c r="D248" s="19"/>
      <c r="E248" s="19"/>
      <c r="F248" s="19"/>
      <c r="G248" s="13" t="s">
        <v>569</v>
      </c>
      <c r="H248" s="19" t="s">
        <v>569</v>
      </c>
      <c r="I248" s="19" t="str">
        <f t="shared" ca="1" si="1"/>
        <v>http://www.mohawkgroup.com</v>
      </c>
      <c r="J248" s="19" t="str">
        <f t="shared" ref="J248:M248" ca="1" si="248">IFERROR(__xludf.DUMMYFUNCTION("iferror(lower(regexreplace(substitute(trim(if(C248="""",""empty"",C248)),"" "",""_""),""[^A-Za-z0-9_]"","""")))"),"empty")</f>
        <v>empty</v>
      </c>
      <c r="K248" s="19" t="str">
        <f t="shared" ca="1" si="248"/>
        <v>empty</v>
      </c>
      <c r="L248" s="19" t="str">
        <f t="shared" ca="1" si="248"/>
        <v>empty</v>
      </c>
      <c r="M248" s="19" t="str">
        <f t="shared" ca="1" si="248"/>
        <v>empty</v>
      </c>
    </row>
    <row r="249" spans="1:13" ht="15.5" x14ac:dyDescent="0.35">
      <c r="A249" s="17"/>
      <c r="B249" s="19"/>
      <c r="C249" s="19"/>
      <c r="D249" s="19"/>
      <c r="E249" s="19"/>
      <c r="F249" s="19"/>
      <c r="G249" s="13" t="s">
        <v>569</v>
      </c>
      <c r="H249" s="19" t="s">
        <v>569</v>
      </c>
      <c r="I249" s="19" t="str">
        <f t="shared" ca="1" si="1"/>
        <v>http://www.mohawkgroup.com</v>
      </c>
      <c r="J249" s="19" t="str">
        <f t="shared" ref="J249:M249" ca="1" si="249">IFERROR(__xludf.DUMMYFUNCTION("iferror(lower(regexreplace(substitute(trim(if(C249="""",""empty"",C249)),"" "",""_""),""[^A-Za-z0-9_]"","""")))"),"empty")</f>
        <v>empty</v>
      </c>
      <c r="K249" s="19" t="str">
        <f t="shared" ca="1" si="249"/>
        <v>empty</v>
      </c>
      <c r="L249" s="19" t="str">
        <f t="shared" ca="1" si="249"/>
        <v>empty</v>
      </c>
      <c r="M249" s="19" t="str">
        <f t="shared" ca="1" si="249"/>
        <v>empty</v>
      </c>
    </row>
    <row r="250" spans="1:13" ht="15.5" x14ac:dyDescent="0.35">
      <c r="A250" s="17"/>
      <c r="B250" s="19"/>
      <c r="C250" s="19"/>
      <c r="D250" s="19"/>
      <c r="E250" s="19"/>
      <c r="F250" s="19"/>
      <c r="G250" s="13" t="s">
        <v>569</v>
      </c>
      <c r="H250" s="19" t="s">
        <v>569</v>
      </c>
      <c r="I250" s="19" t="str">
        <f t="shared" ca="1" si="1"/>
        <v>http://www.mohawkgroup.com</v>
      </c>
      <c r="J250" s="19" t="str">
        <f t="shared" ref="J250:M250" ca="1" si="250">IFERROR(__xludf.DUMMYFUNCTION("iferror(lower(regexreplace(substitute(trim(if(C250="""",""empty"",C250)),"" "",""_""),""[^A-Za-z0-9_]"","""")))"),"empty")</f>
        <v>empty</v>
      </c>
      <c r="K250" s="19" t="str">
        <f t="shared" ca="1" si="250"/>
        <v>empty</v>
      </c>
      <c r="L250" s="19" t="str">
        <f t="shared" ca="1" si="250"/>
        <v>empty</v>
      </c>
      <c r="M250" s="19" t="str">
        <f t="shared" ca="1" si="250"/>
        <v>empty</v>
      </c>
    </row>
    <row r="251" spans="1:13" ht="15.5" x14ac:dyDescent="0.35">
      <c r="A251" s="17"/>
      <c r="B251" s="19"/>
      <c r="C251" s="19"/>
      <c r="D251" s="19"/>
      <c r="E251" s="19"/>
      <c r="F251" s="19"/>
      <c r="G251" s="13" t="s">
        <v>569</v>
      </c>
      <c r="H251" s="19" t="s">
        <v>569</v>
      </c>
      <c r="I251" s="19" t="str">
        <f t="shared" ca="1" si="1"/>
        <v>http://www.mohawkgroup.com</v>
      </c>
      <c r="J251" s="19" t="str">
        <f t="shared" ref="J251:M251" ca="1" si="251">IFERROR(__xludf.DUMMYFUNCTION("iferror(lower(regexreplace(substitute(trim(if(C251="""",""empty"",C251)),"" "",""_""),""[^A-Za-z0-9_]"","""")))"),"empty")</f>
        <v>empty</v>
      </c>
      <c r="K251" s="19" t="str">
        <f t="shared" ca="1" si="251"/>
        <v>empty</v>
      </c>
      <c r="L251" s="19" t="str">
        <f t="shared" ca="1" si="251"/>
        <v>empty</v>
      </c>
      <c r="M251" s="19" t="str">
        <f t="shared" ca="1" si="251"/>
        <v>empty</v>
      </c>
    </row>
    <row r="252" spans="1:13" ht="15.5" x14ac:dyDescent="0.35">
      <c r="A252" s="17"/>
      <c r="B252" s="19"/>
      <c r="C252" s="19"/>
      <c r="D252" s="19"/>
      <c r="E252" s="19"/>
      <c r="F252" s="19"/>
      <c r="G252" s="13" t="s">
        <v>569</v>
      </c>
      <c r="H252" s="19" t="s">
        <v>569</v>
      </c>
      <c r="I252" s="19" t="str">
        <f t="shared" ca="1" si="1"/>
        <v>http://www.mohawkgroup.com</v>
      </c>
      <c r="J252" s="19" t="str">
        <f t="shared" ref="J252:M252" ca="1" si="252">IFERROR(__xludf.DUMMYFUNCTION("iferror(lower(regexreplace(substitute(trim(if(C252="""",""empty"",C252)),"" "",""_""),""[^A-Za-z0-9_]"","""")))"),"empty")</f>
        <v>empty</v>
      </c>
      <c r="K252" s="19" t="str">
        <f t="shared" ca="1" si="252"/>
        <v>empty</v>
      </c>
      <c r="L252" s="19" t="str">
        <f t="shared" ca="1" si="252"/>
        <v>empty</v>
      </c>
      <c r="M252" s="19" t="str">
        <f t="shared" ca="1" si="252"/>
        <v>empty</v>
      </c>
    </row>
    <row r="253" spans="1:13" ht="15.5" x14ac:dyDescent="0.35">
      <c r="A253" s="17"/>
      <c r="B253" s="19"/>
      <c r="C253" s="19"/>
      <c r="D253" s="19"/>
      <c r="E253" s="19"/>
      <c r="F253" s="19"/>
      <c r="G253" s="13" t="s">
        <v>569</v>
      </c>
      <c r="H253" s="19" t="s">
        <v>569</v>
      </c>
      <c r="I253" s="19" t="str">
        <f t="shared" ca="1" si="1"/>
        <v>http://www.mohawkgroup.com</v>
      </c>
      <c r="J253" s="19" t="str">
        <f t="shared" ref="J253:M253" ca="1" si="253">IFERROR(__xludf.DUMMYFUNCTION("iferror(lower(regexreplace(substitute(trim(if(C253="""",""empty"",C253)),"" "",""_""),""[^A-Za-z0-9_]"","""")))"),"empty")</f>
        <v>empty</v>
      </c>
      <c r="K253" s="19" t="str">
        <f t="shared" ca="1" si="253"/>
        <v>empty</v>
      </c>
      <c r="L253" s="19" t="str">
        <f t="shared" ca="1" si="253"/>
        <v>empty</v>
      </c>
      <c r="M253" s="19" t="str">
        <f t="shared" ca="1" si="253"/>
        <v>empty</v>
      </c>
    </row>
    <row r="254" spans="1:13" ht="15.5" x14ac:dyDescent="0.35">
      <c r="A254" s="17"/>
      <c r="B254" s="19"/>
      <c r="C254" s="19"/>
      <c r="D254" s="19"/>
      <c r="E254" s="19"/>
      <c r="F254" s="19"/>
      <c r="G254" s="13" t="s">
        <v>569</v>
      </c>
      <c r="H254" s="19" t="s">
        <v>569</v>
      </c>
      <c r="I254" s="19" t="str">
        <f t="shared" ca="1" si="1"/>
        <v>http://www.mohawkgroup.com</v>
      </c>
      <c r="J254" s="19" t="str">
        <f t="shared" ref="J254:M254" ca="1" si="254">IFERROR(__xludf.DUMMYFUNCTION("iferror(lower(regexreplace(substitute(trim(if(C254="""",""empty"",C254)),"" "",""_""),""[^A-Za-z0-9_]"","""")))"),"empty")</f>
        <v>empty</v>
      </c>
      <c r="K254" s="19" t="str">
        <f t="shared" ca="1" si="254"/>
        <v>empty</v>
      </c>
      <c r="L254" s="19" t="str">
        <f t="shared" ca="1" si="254"/>
        <v>empty</v>
      </c>
      <c r="M254" s="19" t="str">
        <f t="shared" ca="1" si="254"/>
        <v>empty</v>
      </c>
    </row>
    <row r="255" spans="1:13" ht="15.5" x14ac:dyDescent="0.35">
      <c r="A255" s="17"/>
      <c r="B255" s="19"/>
      <c r="C255" s="19"/>
      <c r="D255" s="19"/>
      <c r="E255" s="19"/>
      <c r="F255" s="19"/>
      <c r="G255" s="13" t="s">
        <v>569</v>
      </c>
      <c r="H255" s="19" t="s">
        <v>569</v>
      </c>
      <c r="I255" s="19" t="str">
        <f t="shared" ca="1" si="1"/>
        <v>http://www.mohawkgroup.com</v>
      </c>
      <c r="J255" s="19" t="str">
        <f t="shared" ref="J255:M255" ca="1" si="255">IFERROR(__xludf.DUMMYFUNCTION("iferror(lower(regexreplace(substitute(trim(if(C255="""",""empty"",C255)),"" "",""_""),""[^A-Za-z0-9_]"","""")))"),"empty")</f>
        <v>empty</v>
      </c>
      <c r="K255" s="19" t="str">
        <f t="shared" ca="1" si="255"/>
        <v>empty</v>
      </c>
      <c r="L255" s="19" t="str">
        <f t="shared" ca="1" si="255"/>
        <v>empty</v>
      </c>
      <c r="M255" s="19" t="str">
        <f t="shared" ca="1" si="255"/>
        <v>empty</v>
      </c>
    </row>
    <row r="256" spans="1:13" ht="15.5" x14ac:dyDescent="0.35">
      <c r="A256" s="17"/>
      <c r="B256" s="19"/>
      <c r="C256" s="19"/>
      <c r="D256" s="19"/>
      <c r="E256" s="19"/>
      <c r="F256" s="19"/>
      <c r="G256" s="13" t="s">
        <v>569</v>
      </c>
      <c r="H256" s="19" t="s">
        <v>569</v>
      </c>
      <c r="I256" s="19" t="str">
        <f t="shared" ca="1" si="1"/>
        <v>http://www.mohawkgroup.com</v>
      </c>
      <c r="J256" s="19" t="str">
        <f t="shared" ref="J256:M256" ca="1" si="256">IFERROR(__xludf.DUMMYFUNCTION("iferror(lower(regexreplace(substitute(trim(if(C256="""",""empty"",C256)),"" "",""_""),""[^A-Za-z0-9_]"","""")))"),"empty")</f>
        <v>empty</v>
      </c>
      <c r="K256" s="19" t="str">
        <f t="shared" ca="1" si="256"/>
        <v>empty</v>
      </c>
      <c r="L256" s="19" t="str">
        <f t="shared" ca="1" si="256"/>
        <v>empty</v>
      </c>
      <c r="M256" s="19" t="str">
        <f t="shared" ca="1" si="256"/>
        <v>empty</v>
      </c>
    </row>
    <row r="257" spans="1:13" ht="15.5" x14ac:dyDescent="0.35">
      <c r="A257" s="17"/>
      <c r="B257" s="19"/>
      <c r="C257" s="19"/>
      <c r="D257" s="19"/>
      <c r="E257" s="19"/>
      <c r="F257" s="19"/>
      <c r="G257" s="13" t="s">
        <v>569</v>
      </c>
      <c r="H257" s="19" t="s">
        <v>569</v>
      </c>
      <c r="I257" s="19" t="str">
        <f t="shared" ref="I257:I350" ca="1" si="257">IFERROR(__xludf.DUMMYFUNCTION("iferror(if(right(lower(regexreplace(substitute(trim(if(B2="""",""empty"",B2)),"" "",""_""),""[^A-Za-z0-9_\.\:\/]"","""")),1)=""/"",left(lower(regexreplace(substitute(trim(if(B2="""",""empty"",B2)),"" "",""_""),""[^A-Za-z0-9_\.\:\/]"","""")),len(lower(rege"&amp;"xreplace(substitute(trim(if(B2="""",""empty"",B2)),"" "",""_""),""[^A-Za-z0-9_\.\:\/]"","""")))-1),lower(regexreplace(substitute(trim(if(B2="""",""empty"",B2)),"" "",""_""),""[^A-Za-z0-9_\.\:\/]"",""""))))"),"http://www.mohawkgroup.com")</f>
        <v>http://www.mohawkgroup.com</v>
      </c>
      <c r="J257" s="19" t="str">
        <f t="shared" ref="J257:M257" ca="1" si="258">IFERROR(__xludf.DUMMYFUNCTION("iferror(lower(regexreplace(substitute(trim(if(C257="""",""empty"",C257)),"" "",""_""),""[^A-Za-z0-9_]"","""")))"),"empty")</f>
        <v>empty</v>
      </c>
      <c r="K257" s="19" t="str">
        <f t="shared" ca="1" si="258"/>
        <v>empty</v>
      </c>
      <c r="L257" s="19" t="str">
        <f t="shared" ca="1" si="258"/>
        <v>empty</v>
      </c>
      <c r="M257" s="19" t="str">
        <f t="shared" ca="1" si="258"/>
        <v>empty</v>
      </c>
    </row>
    <row r="258" spans="1:13" ht="15.5" x14ac:dyDescent="0.35">
      <c r="A258" s="17"/>
      <c r="B258" s="19"/>
      <c r="C258" s="19"/>
      <c r="D258" s="19"/>
      <c r="E258" s="19"/>
      <c r="F258" s="19"/>
      <c r="G258" s="13" t="s">
        <v>569</v>
      </c>
      <c r="H258" s="19" t="s">
        <v>569</v>
      </c>
      <c r="I258" s="19" t="str">
        <f t="shared" ca="1" si="257"/>
        <v>http://www.mohawkgroup.com</v>
      </c>
      <c r="J258" s="19" t="str">
        <f t="shared" ref="J258:M258" ca="1" si="259">IFERROR(__xludf.DUMMYFUNCTION("iferror(lower(regexreplace(substitute(trim(if(C258="""",""empty"",C258)),"" "",""_""),""[^A-Za-z0-9_]"","""")))"),"empty")</f>
        <v>empty</v>
      </c>
      <c r="K258" s="19" t="str">
        <f t="shared" ca="1" si="259"/>
        <v>empty</v>
      </c>
      <c r="L258" s="19" t="str">
        <f t="shared" ca="1" si="259"/>
        <v>empty</v>
      </c>
      <c r="M258" s="19" t="str">
        <f t="shared" ca="1" si="259"/>
        <v>empty</v>
      </c>
    </row>
    <row r="259" spans="1:13" ht="15.5" x14ac:dyDescent="0.35">
      <c r="A259" s="17"/>
      <c r="B259" s="19"/>
      <c r="C259" s="19"/>
      <c r="D259" s="19"/>
      <c r="E259" s="19"/>
      <c r="F259" s="19"/>
      <c r="G259" s="13" t="s">
        <v>569</v>
      </c>
      <c r="H259" s="19" t="s">
        <v>569</v>
      </c>
      <c r="I259" s="19" t="str">
        <f t="shared" ca="1" si="257"/>
        <v>http://www.mohawkgroup.com</v>
      </c>
      <c r="J259" s="19" t="str">
        <f t="shared" ref="J259:M259" ca="1" si="260">IFERROR(__xludf.DUMMYFUNCTION("iferror(lower(regexreplace(substitute(trim(if(C259="""",""empty"",C259)),"" "",""_""),""[^A-Za-z0-9_]"","""")))"),"empty")</f>
        <v>empty</v>
      </c>
      <c r="K259" s="19" t="str">
        <f t="shared" ca="1" si="260"/>
        <v>empty</v>
      </c>
      <c r="L259" s="19" t="str">
        <f t="shared" ca="1" si="260"/>
        <v>empty</v>
      </c>
      <c r="M259" s="19" t="str">
        <f t="shared" ca="1" si="260"/>
        <v>empty</v>
      </c>
    </row>
    <row r="260" spans="1:13" ht="15.5" x14ac:dyDescent="0.35">
      <c r="A260" s="17"/>
      <c r="B260" s="19"/>
      <c r="C260" s="19"/>
      <c r="D260" s="19"/>
      <c r="E260" s="19"/>
      <c r="F260" s="19"/>
      <c r="G260" s="13" t="s">
        <v>569</v>
      </c>
      <c r="H260" s="19" t="s">
        <v>569</v>
      </c>
      <c r="I260" s="19" t="str">
        <f t="shared" ca="1" si="257"/>
        <v>http://www.mohawkgroup.com</v>
      </c>
      <c r="J260" s="19" t="str">
        <f t="shared" ref="J260:M260" ca="1" si="261">IFERROR(__xludf.DUMMYFUNCTION("iferror(lower(regexreplace(substitute(trim(if(C260="""",""empty"",C260)),"" "",""_""),""[^A-Za-z0-9_]"","""")))"),"empty")</f>
        <v>empty</v>
      </c>
      <c r="K260" s="19" t="str">
        <f t="shared" ca="1" si="261"/>
        <v>empty</v>
      </c>
      <c r="L260" s="19" t="str">
        <f t="shared" ca="1" si="261"/>
        <v>empty</v>
      </c>
      <c r="M260" s="19" t="str">
        <f t="shared" ca="1" si="261"/>
        <v>empty</v>
      </c>
    </row>
    <row r="261" spans="1:13" ht="15.5" x14ac:dyDescent="0.35">
      <c r="A261" s="17"/>
      <c r="B261" s="19"/>
      <c r="C261" s="19"/>
      <c r="D261" s="19"/>
      <c r="E261" s="19"/>
      <c r="F261" s="19"/>
      <c r="G261" s="13" t="s">
        <v>569</v>
      </c>
      <c r="H261" s="19" t="s">
        <v>569</v>
      </c>
      <c r="I261" s="19" t="str">
        <f t="shared" ca="1" si="257"/>
        <v>http://www.mohawkgroup.com</v>
      </c>
      <c r="J261" s="19" t="str">
        <f t="shared" ref="J261:M261" ca="1" si="262">IFERROR(__xludf.DUMMYFUNCTION("iferror(lower(regexreplace(substitute(trim(if(C261="""",""empty"",C261)),"" "",""_""),""[^A-Za-z0-9_]"","""")))"),"empty")</f>
        <v>empty</v>
      </c>
      <c r="K261" s="19" t="str">
        <f t="shared" ca="1" si="262"/>
        <v>empty</v>
      </c>
      <c r="L261" s="19" t="str">
        <f t="shared" ca="1" si="262"/>
        <v>empty</v>
      </c>
      <c r="M261" s="19" t="str">
        <f t="shared" ca="1" si="262"/>
        <v>empty</v>
      </c>
    </row>
    <row r="262" spans="1:13" ht="15.5" x14ac:dyDescent="0.35">
      <c r="A262" s="17"/>
      <c r="B262" s="19"/>
      <c r="C262" s="19"/>
      <c r="D262" s="19"/>
      <c r="E262" s="19"/>
      <c r="F262" s="19"/>
      <c r="G262" s="13" t="s">
        <v>569</v>
      </c>
      <c r="H262" s="19" t="s">
        <v>569</v>
      </c>
      <c r="I262" s="19" t="str">
        <f t="shared" ca="1" si="257"/>
        <v>http://www.mohawkgroup.com</v>
      </c>
      <c r="J262" s="19" t="str">
        <f t="shared" ref="J262:M262" ca="1" si="263">IFERROR(__xludf.DUMMYFUNCTION("iferror(lower(regexreplace(substitute(trim(if(C262="""",""empty"",C262)),"" "",""_""),""[^A-Za-z0-9_]"","""")))"),"empty")</f>
        <v>empty</v>
      </c>
      <c r="K262" s="19" t="str">
        <f t="shared" ca="1" si="263"/>
        <v>empty</v>
      </c>
      <c r="L262" s="19" t="str">
        <f t="shared" ca="1" si="263"/>
        <v>empty</v>
      </c>
      <c r="M262" s="19" t="str">
        <f t="shared" ca="1" si="263"/>
        <v>empty</v>
      </c>
    </row>
    <row r="263" spans="1:13" ht="15.5" x14ac:dyDescent="0.35">
      <c r="A263" s="17"/>
      <c r="B263" s="19"/>
      <c r="C263" s="19"/>
      <c r="D263" s="19"/>
      <c r="E263" s="19"/>
      <c r="F263" s="19"/>
      <c r="G263" s="13" t="s">
        <v>569</v>
      </c>
      <c r="H263" s="19" t="s">
        <v>569</v>
      </c>
      <c r="I263" s="19" t="str">
        <f t="shared" ca="1" si="257"/>
        <v>http://www.mohawkgroup.com</v>
      </c>
      <c r="J263" s="19" t="str">
        <f t="shared" ref="J263:M263" ca="1" si="264">IFERROR(__xludf.DUMMYFUNCTION("iferror(lower(regexreplace(substitute(trim(if(C263="""",""empty"",C263)),"" "",""_""),""[^A-Za-z0-9_]"","""")))"),"empty")</f>
        <v>empty</v>
      </c>
      <c r="K263" s="19" t="str">
        <f t="shared" ca="1" si="264"/>
        <v>empty</v>
      </c>
      <c r="L263" s="19" t="str">
        <f t="shared" ca="1" si="264"/>
        <v>empty</v>
      </c>
      <c r="M263" s="19" t="str">
        <f t="shared" ca="1" si="264"/>
        <v>empty</v>
      </c>
    </row>
    <row r="264" spans="1:13" ht="15.5" x14ac:dyDescent="0.35">
      <c r="A264" s="17"/>
      <c r="B264" s="19"/>
      <c r="C264" s="19"/>
      <c r="D264" s="19"/>
      <c r="E264" s="19"/>
      <c r="F264" s="19"/>
      <c r="G264" s="13" t="s">
        <v>569</v>
      </c>
      <c r="H264" s="19" t="s">
        <v>569</v>
      </c>
      <c r="I264" s="19" t="str">
        <f t="shared" ca="1" si="257"/>
        <v>http://www.mohawkgroup.com</v>
      </c>
      <c r="J264" s="19" t="str">
        <f t="shared" ref="J264:M264" ca="1" si="265">IFERROR(__xludf.DUMMYFUNCTION("iferror(lower(regexreplace(substitute(trim(if(C264="""",""empty"",C264)),"" "",""_""),""[^A-Za-z0-9_]"","""")))"),"empty")</f>
        <v>empty</v>
      </c>
      <c r="K264" s="19" t="str">
        <f t="shared" ca="1" si="265"/>
        <v>empty</v>
      </c>
      <c r="L264" s="19" t="str">
        <f t="shared" ca="1" si="265"/>
        <v>empty</v>
      </c>
      <c r="M264" s="19" t="str">
        <f t="shared" ca="1" si="265"/>
        <v>empty</v>
      </c>
    </row>
    <row r="265" spans="1:13" ht="15.5" x14ac:dyDescent="0.35">
      <c r="A265" s="17"/>
      <c r="B265" s="19"/>
      <c r="C265" s="19"/>
      <c r="D265" s="19"/>
      <c r="E265" s="19"/>
      <c r="F265" s="19"/>
      <c r="G265" s="13" t="s">
        <v>569</v>
      </c>
      <c r="H265" s="19" t="s">
        <v>569</v>
      </c>
      <c r="I265" s="19" t="str">
        <f t="shared" ca="1" si="257"/>
        <v>http://www.mohawkgroup.com</v>
      </c>
      <c r="J265" s="19" t="str">
        <f t="shared" ref="J265:M265" ca="1" si="266">IFERROR(__xludf.DUMMYFUNCTION("iferror(lower(regexreplace(substitute(trim(if(C265="""",""empty"",C265)),"" "",""_""),""[^A-Za-z0-9_]"","""")))"),"empty")</f>
        <v>empty</v>
      </c>
      <c r="K265" s="19" t="str">
        <f t="shared" ca="1" si="266"/>
        <v>empty</v>
      </c>
      <c r="L265" s="19" t="str">
        <f t="shared" ca="1" si="266"/>
        <v>empty</v>
      </c>
      <c r="M265" s="19" t="str">
        <f t="shared" ca="1" si="266"/>
        <v>empty</v>
      </c>
    </row>
    <row r="266" spans="1:13" ht="15.5" x14ac:dyDescent="0.35">
      <c r="A266" s="17"/>
      <c r="B266" s="19"/>
      <c r="C266" s="19"/>
      <c r="D266" s="19"/>
      <c r="E266" s="19"/>
      <c r="F266" s="19"/>
      <c r="G266" s="13" t="s">
        <v>569</v>
      </c>
      <c r="H266" s="19" t="s">
        <v>569</v>
      </c>
      <c r="I266" s="19" t="str">
        <f t="shared" ca="1" si="257"/>
        <v>http://www.mohawkgroup.com</v>
      </c>
      <c r="J266" s="19" t="str">
        <f t="shared" ref="J266:M266" ca="1" si="267">IFERROR(__xludf.DUMMYFUNCTION("iferror(lower(regexreplace(substitute(trim(if(C266="""",""empty"",C266)),"" "",""_""),""[^A-Za-z0-9_]"","""")))"),"empty")</f>
        <v>empty</v>
      </c>
      <c r="K266" s="19" t="str">
        <f t="shared" ca="1" si="267"/>
        <v>empty</v>
      </c>
      <c r="L266" s="19" t="str">
        <f t="shared" ca="1" si="267"/>
        <v>empty</v>
      </c>
      <c r="M266" s="19" t="str">
        <f t="shared" ca="1" si="267"/>
        <v>empty</v>
      </c>
    </row>
    <row r="267" spans="1:13" ht="15.5" x14ac:dyDescent="0.35">
      <c r="A267" s="17"/>
      <c r="B267" s="19"/>
      <c r="C267" s="19"/>
      <c r="D267" s="19"/>
      <c r="E267" s="19"/>
      <c r="F267" s="19"/>
      <c r="G267" s="13" t="s">
        <v>569</v>
      </c>
      <c r="H267" s="19" t="s">
        <v>569</v>
      </c>
      <c r="I267" s="19" t="str">
        <f t="shared" ca="1" si="257"/>
        <v>http://www.mohawkgroup.com</v>
      </c>
      <c r="J267" s="19" t="str">
        <f t="shared" ref="J267:M267" ca="1" si="268">IFERROR(__xludf.DUMMYFUNCTION("iferror(lower(regexreplace(substitute(trim(if(C267="""",""empty"",C267)),"" "",""_""),""[^A-Za-z0-9_]"","""")))"),"empty")</f>
        <v>empty</v>
      </c>
      <c r="K267" s="19" t="str">
        <f t="shared" ca="1" si="268"/>
        <v>empty</v>
      </c>
      <c r="L267" s="19" t="str">
        <f t="shared" ca="1" si="268"/>
        <v>empty</v>
      </c>
      <c r="M267" s="19" t="str">
        <f t="shared" ca="1" si="268"/>
        <v>empty</v>
      </c>
    </row>
    <row r="268" spans="1:13" ht="15.5" x14ac:dyDescent="0.35">
      <c r="A268" s="17"/>
      <c r="B268" s="19"/>
      <c r="C268" s="19"/>
      <c r="D268" s="19"/>
      <c r="E268" s="19"/>
      <c r="F268" s="19"/>
      <c r="G268" s="13" t="s">
        <v>569</v>
      </c>
      <c r="H268" s="19" t="s">
        <v>569</v>
      </c>
      <c r="I268" s="19" t="str">
        <f t="shared" ca="1" si="257"/>
        <v>http://www.mohawkgroup.com</v>
      </c>
      <c r="J268" s="19" t="str">
        <f t="shared" ref="J268:M268" ca="1" si="269">IFERROR(__xludf.DUMMYFUNCTION("iferror(lower(regexreplace(substitute(trim(if(C268="""",""empty"",C268)),"" "",""_""),""[^A-Za-z0-9_]"","""")))"),"empty")</f>
        <v>empty</v>
      </c>
      <c r="K268" s="19" t="str">
        <f t="shared" ca="1" si="269"/>
        <v>empty</v>
      </c>
      <c r="L268" s="19" t="str">
        <f t="shared" ca="1" si="269"/>
        <v>empty</v>
      </c>
      <c r="M268" s="19" t="str">
        <f t="shared" ca="1" si="269"/>
        <v>empty</v>
      </c>
    </row>
    <row r="269" spans="1:13" ht="15.5" x14ac:dyDescent="0.35">
      <c r="A269" s="17"/>
      <c r="B269" s="19"/>
      <c r="C269" s="19"/>
      <c r="D269" s="19"/>
      <c r="E269" s="19"/>
      <c r="F269" s="19"/>
      <c r="G269" s="13" t="s">
        <v>569</v>
      </c>
      <c r="H269" s="19" t="s">
        <v>569</v>
      </c>
      <c r="I269" s="19" t="str">
        <f t="shared" ca="1" si="257"/>
        <v>http://www.mohawkgroup.com</v>
      </c>
      <c r="J269" s="19" t="str">
        <f t="shared" ref="J269:M269" ca="1" si="270">IFERROR(__xludf.DUMMYFUNCTION("iferror(lower(regexreplace(substitute(trim(if(C269="""",""empty"",C269)),"" "",""_""),""[^A-Za-z0-9_]"","""")))"),"empty")</f>
        <v>empty</v>
      </c>
      <c r="K269" s="19" t="str">
        <f t="shared" ca="1" si="270"/>
        <v>empty</v>
      </c>
      <c r="L269" s="19" t="str">
        <f t="shared" ca="1" si="270"/>
        <v>empty</v>
      </c>
      <c r="M269" s="19" t="str">
        <f t="shared" ca="1" si="270"/>
        <v>empty</v>
      </c>
    </row>
    <row r="270" spans="1:13" ht="15.5" x14ac:dyDescent="0.35">
      <c r="A270" s="17"/>
      <c r="B270" s="19"/>
      <c r="C270" s="19"/>
      <c r="D270" s="19"/>
      <c r="E270" s="19"/>
      <c r="F270" s="19"/>
      <c r="G270" s="13" t="s">
        <v>569</v>
      </c>
      <c r="H270" s="19" t="s">
        <v>569</v>
      </c>
      <c r="I270" s="19" t="str">
        <f t="shared" ca="1" si="257"/>
        <v>http://www.mohawkgroup.com</v>
      </c>
      <c r="J270" s="19" t="str">
        <f t="shared" ref="J270:M270" ca="1" si="271">IFERROR(__xludf.DUMMYFUNCTION("iferror(lower(regexreplace(substitute(trim(if(C270="""",""empty"",C270)),"" "",""_""),""[^A-Za-z0-9_]"","""")))"),"empty")</f>
        <v>empty</v>
      </c>
      <c r="K270" s="19" t="str">
        <f t="shared" ca="1" si="271"/>
        <v>empty</v>
      </c>
      <c r="L270" s="19" t="str">
        <f t="shared" ca="1" si="271"/>
        <v>empty</v>
      </c>
      <c r="M270" s="19" t="str">
        <f t="shared" ca="1" si="271"/>
        <v>empty</v>
      </c>
    </row>
    <row r="271" spans="1:13" ht="15.5" x14ac:dyDescent="0.35">
      <c r="A271" s="17"/>
      <c r="B271" s="19"/>
      <c r="C271" s="19"/>
      <c r="D271" s="19"/>
      <c r="E271" s="19"/>
      <c r="F271" s="19"/>
      <c r="G271" s="13" t="s">
        <v>569</v>
      </c>
      <c r="H271" s="19" t="s">
        <v>569</v>
      </c>
      <c r="I271" s="19" t="str">
        <f t="shared" ca="1" si="257"/>
        <v>http://www.mohawkgroup.com</v>
      </c>
      <c r="J271" s="19" t="str">
        <f t="shared" ref="J271:M271" ca="1" si="272">IFERROR(__xludf.DUMMYFUNCTION("iferror(lower(regexreplace(substitute(trim(if(C271="""",""empty"",C271)),"" "",""_""),""[^A-Za-z0-9_]"","""")))"),"empty")</f>
        <v>empty</v>
      </c>
      <c r="K271" s="19" t="str">
        <f t="shared" ca="1" si="272"/>
        <v>empty</v>
      </c>
      <c r="L271" s="19" t="str">
        <f t="shared" ca="1" si="272"/>
        <v>empty</v>
      </c>
      <c r="M271" s="19" t="str">
        <f t="shared" ca="1" si="272"/>
        <v>empty</v>
      </c>
    </row>
    <row r="272" spans="1:13" ht="15.5" x14ac:dyDescent="0.35">
      <c r="A272" s="17"/>
      <c r="B272" s="19"/>
      <c r="C272" s="19"/>
      <c r="D272" s="19"/>
      <c r="E272" s="19"/>
      <c r="F272" s="19"/>
      <c r="G272" s="13" t="s">
        <v>569</v>
      </c>
      <c r="H272" s="19" t="s">
        <v>569</v>
      </c>
      <c r="I272" s="19" t="str">
        <f t="shared" ca="1" si="257"/>
        <v>http://www.mohawkgroup.com</v>
      </c>
      <c r="J272" s="19" t="str">
        <f t="shared" ref="J272:M272" ca="1" si="273">IFERROR(__xludf.DUMMYFUNCTION("iferror(lower(regexreplace(substitute(trim(if(C272="""",""empty"",C272)),"" "",""_""),""[^A-Za-z0-9_]"","""")))"),"empty")</f>
        <v>empty</v>
      </c>
      <c r="K272" s="19" t="str">
        <f t="shared" ca="1" si="273"/>
        <v>empty</v>
      </c>
      <c r="L272" s="19" t="str">
        <f t="shared" ca="1" si="273"/>
        <v>empty</v>
      </c>
      <c r="M272" s="19" t="str">
        <f t="shared" ca="1" si="273"/>
        <v>empty</v>
      </c>
    </row>
    <row r="273" spans="1:13" ht="15.5" x14ac:dyDescent="0.35">
      <c r="A273" s="17"/>
      <c r="B273" s="19"/>
      <c r="C273" s="19"/>
      <c r="D273" s="19"/>
      <c r="E273" s="19"/>
      <c r="F273" s="19"/>
      <c r="G273" s="13" t="s">
        <v>569</v>
      </c>
      <c r="H273" s="19" t="s">
        <v>569</v>
      </c>
      <c r="I273" s="19" t="str">
        <f t="shared" ca="1" si="257"/>
        <v>http://www.mohawkgroup.com</v>
      </c>
      <c r="J273" s="19" t="str">
        <f t="shared" ref="J273:M273" ca="1" si="274">IFERROR(__xludf.DUMMYFUNCTION("iferror(lower(regexreplace(substitute(trim(if(C273="""",""empty"",C273)),"" "",""_""),""[^A-Za-z0-9_]"","""")))"),"empty")</f>
        <v>empty</v>
      </c>
      <c r="K273" s="19" t="str">
        <f t="shared" ca="1" si="274"/>
        <v>empty</v>
      </c>
      <c r="L273" s="19" t="str">
        <f t="shared" ca="1" si="274"/>
        <v>empty</v>
      </c>
      <c r="M273" s="19" t="str">
        <f t="shared" ca="1" si="274"/>
        <v>empty</v>
      </c>
    </row>
    <row r="274" spans="1:13" ht="15.5" x14ac:dyDescent="0.35">
      <c r="A274" s="17"/>
      <c r="B274" s="19"/>
      <c r="C274" s="19"/>
      <c r="D274" s="19"/>
      <c r="E274" s="19"/>
      <c r="F274" s="19"/>
      <c r="G274" s="13" t="s">
        <v>569</v>
      </c>
      <c r="H274" s="19" t="s">
        <v>569</v>
      </c>
      <c r="I274" s="19" t="str">
        <f t="shared" ca="1" si="257"/>
        <v>http://www.mohawkgroup.com</v>
      </c>
      <c r="J274" s="19" t="str">
        <f t="shared" ref="J274:M274" ca="1" si="275">IFERROR(__xludf.DUMMYFUNCTION("iferror(lower(regexreplace(substitute(trim(if(C274="""",""empty"",C274)),"" "",""_""),""[^A-Za-z0-9_]"","""")))"),"empty")</f>
        <v>empty</v>
      </c>
      <c r="K274" s="19" t="str">
        <f t="shared" ca="1" si="275"/>
        <v>empty</v>
      </c>
      <c r="L274" s="19" t="str">
        <f t="shared" ca="1" si="275"/>
        <v>empty</v>
      </c>
      <c r="M274" s="19" t="str">
        <f t="shared" ca="1" si="275"/>
        <v>empty</v>
      </c>
    </row>
    <row r="275" spans="1:13" ht="15.5" x14ac:dyDescent="0.35">
      <c r="A275" s="17"/>
      <c r="B275" s="19"/>
      <c r="C275" s="19"/>
      <c r="D275" s="19"/>
      <c r="E275" s="19"/>
      <c r="F275" s="19"/>
      <c r="G275" s="13" t="s">
        <v>569</v>
      </c>
      <c r="H275" s="19" t="s">
        <v>569</v>
      </c>
      <c r="I275" s="19" t="str">
        <f t="shared" ca="1" si="257"/>
        <v>http://www.mohawkgroup.com</v>
      </c>
      <c r="J275" s="19" t="str">
        <f t="shared" ref="J275:M275" ca="1" si="276">IFERROR(__xludf.DUMMYFUNCTION("iferror(lower(regexreplace(substitute(trim(if(C275="""",""empty"",C275)),"" "",""_""),""[^A-Za-z0-9_]"","""")))"),"empty")</f>
        <v>empty</v>
      </c>
      <c r="K275" s="19" t="str">
        <f t="shared" ca="1" si="276"/>
        <v>empty</v>
      </c>
      <c r="L275" s="19" t="str">
        <f t="shared" ca="1" si="276"/>
        <v>empty</v>
      </c>
      <c r="M275" s="19" t="str">
        <f t="shared" ca="1" si="276"/>
        <v>empty</v>
      </c>
    </row>
    <row r="276" spans="1:13" ht="15.5" x14ac:dyDescent="0.35">
      <c r="A276" s="17"/>
      <c r="B276" s="19"/>
      <c r="C276" s="19"/>
      <c r="D276" s="19"/>
      <c r="E276" s="19"/>
      <c r="F276" s="19"/>
      <c r="G276" s="13" t="s">
        <v>569</v>
      </c>
      <c r="H276" s="19" t="s">
        <v>569</v>
      </c>
      <c r="I276" s="19" t="str">
        <f t="shared" ca="1" si="257"/>
        <v>http://www.mohawkgroup.com</v>
      </c>
      <c r="J276" s="19" t="str">
        <f t="shared" ref="J276:M276" ca="1" si="277">IFERROR(__xludf.DUMMYFUNCTION("iferror(lower(regexreplace(substitute(trim(if(C276="""",""empty"",C276)),"" "",""_""),""[^A-Za-z0-9_]"","""")))"),"empty")</f>
        <v>empty</v>
      </c>
      <c r="K276" s="19" t="str">
        <f t="shared" ca="1" si="277"/>
        <v>empty</v>
      </c>
      <c r="L276" s="19" t="str">
        <f t="shared" ca="1" si="277"/>
        <v>empty</v>
      </c>
      <c r="M276" s="19" t="str">
        <f t="shared" ca="1" si="277"/>
        <v>empty</v>
      </c>
    </row>
    <row r="277" spans="1:13" ht="15.5" x14ac:dyDescent="0.35">
      <c r="A277" s="17"/>
      <c r="B277" s="19"/>
      <c r="C277" s="19"/>
      <c r="D277" s="19"/>
      <c r="E277" s="19"/>
      <c r="F277" s="19"/>
      <c r="G277" s="13" t="s">
        <v>569</v>
      </c>
      <c r="H277" s="19" t="s">
        <v>569</v>
      </c>
      <c r="I277" s="19" t="str">
        <f t="shared" ca="1" si="257"/>
        <v>http://www.mohawkgroup.com</v>
      </c>
      <c r="J277" s="19" t="str">
        <f t="shared" ref="J277:M277" ca="1" si="278">IFERROR(__xludf.DUMMYFUNCTION("iferror(lower(regexreplace(substitute(trim(if(C277="""",""empty"",C277)),"" "",""_""),""[^A-Za-z0-9_]"","""")))"),"empty")</f>
        <v>empty</v>
      </c>
      <c r="K277" s="19" t="str">
        <f t="shared" ca="1" si="278"/>
        <v>empty</v>
      </c>
      <c r="L277" s="19" t="str">
        <f t="shared" ca="1" si="278"/>
        <v>empty</v>
      </c>
      <c r="M277" s="19" t="str">
        <f t="shared" ca="1" si="278"/>
        <v>empty</v>
      </c>
    </row>
    <row r="278" spans="1:13" ht="15.5" x14ac:dyDescent="0.35">
      <c r="A278" s="17"/>
      <c r="B278" s="19"/>
      <c r="C278" s="19"/>
      <c r="D278" s="19"/>
      <c r="E278" s="19"/>
      <c r="F278" s="19"/>
      <c r="G278" s="13" t="s">
        <v>569</v>
      </c>
      <c r="H278" s="19" t="s">
        <v>569</v>
      </c>
      <c r="I278" s="19" t="str">
        <f t="shared" ca="1" si="257"/>
        <v>http://www.mohawkgroup.com</v>
      </c>
      <c r="J278" s="19" t="str">
        <f t="shared" ref="J278:M278" ca="1" si="279">IFERROR(__xludf.DUMMYFUNCTION("iferror(lower(regexreplace(substitute(trim(if(C278="""",""empty"",C278)),"" "",""_""),""[^A-Za-z0-9_]"","""")))"),"empty")</f>
        <v>empty</v>
      </c>
      <c r="K278" s="19" t="str">
        <f t="shared" ca="1" si="279"/>
        <v>empty</v>
      </c>
      <c r="L278" s="19" t="str">
        <f t="shared" ca="1" si="279"/>
        <v>empty</v>
      </c>
      <c r="M278" s="19" t="str">
        <f t="shared" ca="1" si="279"/>
        <v>empty</v>
      </c>
    </row>
    <row r="279" spans="1:13" ht="15.5" x14ac:dyDescent="0.35">
      <c r="A279" s="17"/>
      <c r="B279" s="19"/>
      <c r="C279" s="19"/>
      <c r="D279" s="19"/>
      <c r="E279" s="19"/>
      <c r="F279" s="19"/>
      <c r="G279" s="13" t="s">
        <v>569</v>
      </c>
      <c r="H279" s="19" t="s">
        <v>569</v>
      </c>
      <c r="I279" s="19" t="str">
        <f t="shared" ca="1" si="257"/>
        <v>http://www.mohawkgroup.com</v>
      </c>
      <c r="J279" s="19" t="str">
        <f t="shared" ref="J279:M279" ca="1" si="280">IFERROR(__xludf.DUMMYFUNCTION("iferror(lower(regexreplace(substitute(trim(if(C279="""",""empty"",C279)),"" "",""_""),""[^A-Za-z0-9_]"","""")))"),"empty")</f>
        <v>empty</v>
      </c>
      <c r="K279" s="19" t="str">
        <f t="shared" ca="1" si="280"/>
        <v>empty</v>
      </c>
      <c r="L279" s="19" t="str">
        <f t="shared" ca="1" si="280"/>
        <v>empty</v>
      </c>
      <c r="M279" s="19" t="str">
        <f t="shared" ca="1" si="280"/>
        <v>empty</v>
      </c>
    </row>
    <row r="280" spans="1:13" ht="15.5" x14ac:dyDescent="0.35">
      <c r="A280" s="17"/>
      <c r="B280" s="19"/>
      <c r="C280" s="19"/>
      <c r="D280" s="19"/>
      <c r="E280" s="19"/>
      <c r="F280" s="19"/>
      <c r="G280" s="13" t="s">
        <v>569</v>
      </c>
      <c r="H280" s="19" t="s">
        <v>569</v>
      </c>
      <c r="I280" s="19" t="str">
        <f t="shared" ca="1" si="257"/>
        <v>http://www.mohawkgroup.com</v>
      </c>
      <c r="J280" s="19" t="str">
        <f t="shared" ref="J280:M280" ca="1" si="281">IFERROR(__xludf.DUMMYFUNCTION("iferror(lower(regexreplace(substitute(trim(if(C280="""",""empty"",C280)),"" "",""_""),""[^A-Za-z0-9_]"","""")))"),"empty")</f>
        <v>empty</v>
      </c>
      <c r="K280" s="19" t="str">
        <f t="shared" ca="1" si="281"/>
        <v>empty</v>
      </c>
      <c r="L280" s="19" t="str">
        <f t="shared" ca="1" si="281"/>
        <v>empty</v>
      </c>
      <c r="M280" s="19" t="str">
        <f t="shared" ca="1" si="281"/>
        <v>empty</v>
      </c>
    </row>
    <row r="281" spans="1:13" ht="15.5" x14ac:dyDescent="0.35">
      <c r="A281" s="17"/>
      <c r="B281" s="19"/>
      <c r="C281" s="19"/>
      <c r="D281" s="19"/>
      <c r="E281" s="19"/>
      <c r="F281" s="19"/>
      <c r="G281" s="13" t="s">
        <v>569</v>
      </c>
      <c r="H281" s="19" t="s">
        <v>569</v>
      </c>
      <c r="I281" s="19" t="str">
        <f t="shared" ca="1" si="257"/>
        <v>http://www.mohawkgroup.com</v>
      </c>
      <c r="J281" s="19" t="str">
        <f t="shared" ref="J281:M281" ca="1" si="282">IFERROR(__xludf.DUMMYFUNCTION("iferror(lower(regexreplace(substitute(trim(if(C281="""",""empty"",C281)),"" "",""_""),""[^A-Za-z0-9_]"","""")))"),"empty")</f>
        <v>empty</v>
      </c>
      <c r="K281" s="19" t="str">
        <f t="shared" ca="1" si="282"/>
        <v>empty</v>
      </c>
      <c r="L281" s="19" t="str">
        <f t="shared" ca="1" si="282"/>
        <v>empty</v>
      </c>
      <c r="M281" s="19" t="str">
        <f t="shared" ca="1" si="282"/>
        <v>empty</v>
      </c>
    </row>
    <row r="282" spans="1:13" ht="15.5" x14ac:dyDescent="0.35">
      <c r="A282" s="17"/>
      <c r="B282" s="19"/>
      <c r="C282" s="19"/>
      <c r="D282" s="19"/>
      <c r="E282" s="19"/>
      <c r="F282" s="19"/>
      <c r="G282" s="13" t="s">
        <v>569</v>
      </c>
      <c r="H282" s="19" t="s">
        <v>569</v>
      </c>
      <c r="I282" s="19" t="str">
        <f t="shared" ca="1" si="257"/>
        <v>http://www.mohawkgroup.com</v>
      </c>
      <c r="J282" s="19" t="str">
        <f t="shared" ref="J282:M282" ca="1" si="283">IFERROR(__xludf.DUMMYFUNCTION("iferror(lower(regexreplace(substitute(trim(if(C282="""",""empty"",C282)),"" "",""_""),""[^A-Za-z0-9_]"","""")))"),"empty")</f>
        <v>empty</v>
      </c>
      <c r="K282" s="19" t="str">
        <f t="shared" ca="1" si="283"/>
        <v>empty</v>
      </c>
      <c r="L282" s="19" t="str">
        <f t="shared" ca="1" si="283"/>
        <v>empty</v>
      </c>
      <c r="M282" s="19" t="str">
        <f t="shared" ca="1" si="283"/>
        <v>empty</v>
      </c>
    </row>
    <row r="283" spans="1:13" ht="15.5" x14ac:dyDescent="0.35">
      <c r="A283" s="17"/>
      <c r="B283" s="19"/>
      <c r="C283" s="19"/>
      <c r="D283" s="19"/>
      <c r="E283" s="19"/>
      <c r="F283" s="19"/>
      <c r="G283" s="13" t="s">
        <v>569</v>
      </c>
      <c r="H283" s="19" t="s">
        <v>569</v>
      </c>
      <c r="I283" s="19" t="str">
        <f t="shared" ca="1" si="257"/>
        <v>http://www.mohawkgroup.com</v>
      </c>
      <c r="J283" s="19" t="str">
        <f t="shared" ref="J283:M283" ca="1" si="284">IFERROR(__xludf.DUMMYFUNCTION("iferror(lower(regexreplace(substitute(trim(if(C283="""",""empty"",C283)),"" "",""_""),""[^A-Za-z0-9_]"","""")))"),"empty")</f>
        <v>empty</v>
      </c>
      <c r="K283" s="19" t="str">
        <f t="shared" ca="1" si="284"/>
        <v>empty</v>
      </c>
      <c r="L283" s="19" t="str">
        <f t="shared" ca="1" si="284"/>
        <v>empty</v>
      </c>
      <c r="M283" s="19" t="str">
        <f t="shared" ca="1" si="284"/>
        <v>empty</v>
      </c>
    </row>
    <row r="284" spans="1:13" ht="15.5" x14ac:dyDescent="0.35">
      <c r="A284" s="17"/>
      <c r="B284" s="19"/>
      <c r="C284" s="19"/>
      <c r="D284" s="19"/>
      <c r="E284" s="19"/>
      <c r="F284" s="19"/>
      <c r="G284" s="13" t="s">
        <v>569</v>
      </c>
      <c r="H284" s="19" t="s">
        <v>569</v>
      </c>
      <c r="I284" s="19" t="str">
        <f t="shared" ca="1" si="257"/>
        <v>http://www.mohawkgroup.com</v>
      </c>
      <c r="J284" s="19" t="str">
        <f t="shared" ref="J284:M284" ca="1" si="285">IFERROR(__xludf.DUMMYFUNCTION("iferror(lower(regexreplace(substitute(trim(if(C284="""",""empty"",C284)),"" "",""_""),""[^A-Za-z0-9_]"","""")))"),"empty")</f>
        <v>empty</v>
      </c>
      <c r="K284" s="19" t="str">
        <f t="shared" ca="1" si="285"/>
        <v>empty</v>
      </c>
      <c r="L284" s="19" t="str">
        <f t="shared" ca="1" si="285"/>
        <v>empty</v>
      </c>
      <c r="M284" s="19" t="str">
        <f t="shared" ca="1" si="285"/>
        <v>empty</v>
      </c>
    </row>
    <row r="285" spans="1:13" ht="15.5" x14ac:dyDescent="0.35">
      <c r="A285" s="17"/>
      <c r="B285" s="19"/>
      <c r="C285" s="19"/>
      <c r="D285" s="19"/>
      <c r="E285" s="19"/>
      <c r="F285" s="19"/>
      <c r="G285" s="13" t="s">
        <v>569</v>
      </c>
      <c r="H285" s="19" t="s">
        <v>569</v>
      </c>
      <c r="I285" s="19" t="str">
        <f t="shared" ca="1" si="257"/>
        <v>http://www.mohawkgroup.com</v>
      </c>
      <c r="J285" s="19" t="str">
        <f t="shared" ref="J285:M285" ca="1" si="286">IFERROR(__xludf.DUMMYFUNCTION("iferror(lower(regexreplace(substitute(trim(if(C285="""",""empty"",C285)),"" "",""_""),""[^A-Za-z0-9_]"","""")))"),"empty")</f>
        <v>empty</v>
      </c>
      <c r="K285" s="19" t="str">
        <f t="shared" ca="1" si="286"/>
        <v>empty</v>
      </c>
      <c r="L285" s="19" t="str">
        <f t="shared" ca="1" si="286"/>
        <v>empty</v>
      </c>
      <c r="M285" s="19" t="str">
        <f t="shared" ca="1" si="286"/>
        <v>empty</v>
      </c>
    </row>
    <row r="286" spans="1:13" ht="15.5" x14ac:dyDescent="0.35">
      <c r="A286" s="17"/>
      <c r="B286" s="19"/>
      <c r="C286" s="19"/>
      <c r="D286" s="19"/>
      <c r="E286" s="19"/>
      <c r="F286" s="19"/>
      <c r="G286" s="13" t="s">
        <v>569</v>
      </c>
      <c r="H286" s="19" t="s">
        <v>569</v>
      </c>
      <c r="I286" s="19" t="str">
        <f t="shared" ca="1" si="257"/>
        <v>http://www.mohawkgroup.com</v>
      </c>
      <c r="J286" s="19" t="str">
        <f t="shared" ref="J286:M286" ca="1" si="287">IFERROR(__xludf.DUMMYFUNCTION("iferror(lower(regexreplace(substitute(trim(if(C286="""",""empty"",C286)),"" "",""_""),""[^A-Za-z0-9_]"","""")))"),"empty")</f>
        <v>empty</v>
      </c>
      <c r="K286" s="19" t="str">
        <f t="shared" ca="1" si="287"/>
        <v>empty</v>
      </c>
      <c r="L286" s="19" t="str">
        <f t="shared" ca="1" si="287"/>
        <v>empty</v>
      </c>
      <c r="M286" s="19" t="str">
        <f t="shared" ca="1" si="287"/>
        <v>empty</v>
      </c>
    </row>
    <row r="287" spans="1:13" ht="15.5" x14ac:dyDescent="0.35">
      <c r="A287" s="17"/>
      <c r="B287" s="19"/>
      <c r="C287" s="19"/>
      <c r="D287" s="19"/>
      <c r="E287" s="19"/>
      <c r="F287" s="19"/>
      <c r="G287" s="13" t="s">
        <v>569</v>
      </c>
      <c r="H287" s="19" t="s">
        <v>569</v>
      </c>
      <c r="I287" s="19" t="str">
        <f t="shared" ca="1" si="257"/>
        <v>http://www.mohawkgroup.com</v>
      </c>
      <c r="J287" s="19" t="str">
        <f t="shared" ref="J287:M287" ca="1" si="288">IFERROR(__xludf.DUMMYFUNCTION("iferror(lower(regexreplace(substitute(trim(if(C287="""",""empty"",C287)),"" "",""_""),""[^A-Za-z0-9_]"","""")))"),"empty")</f>
        <v>empty</v>
      </c>
      <c r="K287" s="19" t="str">
        <f t="shared" ca="1" si="288"/>
        <v>empty</v>
      </c>
      <c r="L287" s="19" t="str">
        <f t="shared" ca="1" si="288"/>
        <v>empty</v>
      </c>
      <c r="M287" s="19" t="str">
        <f t="shared" ca="1" si="288"/>
        <v>empty</v>
      </c>
    </row>
    <row r="288" spans="1:13" ht="15.5" x14ac:dyDescent="0.35">
      <c r="A288" s="17"/>
      <c r="B288" s="19"/>
      <c r="C288" s="19"/>
      <c r="D288" s="19"/>
      <c r="E288" s="19"/>
      <c r="F288" s="19"/>
      <c r="G288" s="13" t="s">
        <v>569</v>
      </c>
      <c r="H288" s="19" t="s">
        <v>569</v>
      </c>
      <c r="I288" s="19" t="str">
        <f t="shared" ca="1" si="257"/>
        <v>http://www.mohawkgroup.com</v>
      </c>
      <c r="J288" s="19" t="str">
        <f t="shared" ref="J288:M288" ca="1" si="289">IFERROR(__xludf.DUMMYFUNCTION("iferror(lower(regexreplace(substitute(trim(if(C288="""",""empty"",C288)),"" "",""_""),""[^A-Za-z0-9_]"","""")))"),"empty")</f>
        <v>empty</v>
      </c>
      <c r="K288" s="19" t="str">
        <f t="shared" ca="1" si="289"/>
        <v>empty</v>
      </c>
      <c r="L288" s="19" t="str">
        <f t="shared" ca="1" si="289"/>
        <v>empty</v>
      </c>
      <c r="M288" s="19" t="str">
        <f t="shared" ca="1" si="289"/>
        <v>empty</v>
      </c>
    </row>
    <row r="289" spans="1:13" ht="15.5" x14ac:dyDescent="0.35">
      <c r="A289" s="17"/>
      <c r="B289" s="19"/>
      <c r="C289" s="19"/>
      <c r="D289" s="19"/>
      <c r="E289" s="19"/>
      <c r="F289" s="19"/>
      <c r="G289" s="13" t="s">
        <v>569</v>
      </c>
      <c r="H289" s="19" t="s">
        <v>569</v>
      </c>
      <c r="I289" s="19" t="str">
        <f t="shared" ca="1" si="257"/>
        <v>http://www.mohawkgroup.com</v>
      </c>
      <c r="J289" s="19" t="str">
        <f t="shared" ref="J289:M289" ca="1" si="290">IFERROR(__xludf.DUMMYFUNCTION("iferror(lower(regexreplace(substitute(trim(if(C289="""",""empty"",C289)),"" "",""_""),""[^A-Za-z0-9_]"","""")))"),"empty")</f>
        <v>empty</v>
      </c>
      <c r="K289" s="19" t="str">
        <f t="shared" ca="1" si="290"/>
        <v>empty</v>
      </c>
      <c r="L289" s="19" t="str">
        <f t="shared" ca="1" si="290"/>
        <v>empty</v>
      </c>
      <c r="M289" s="19" t="str">
        <f t="shared" ca="1" si="290"/>
        <v>empty</v>
      </c>
    </row>
    <row r="290" spans="1:13" ht="15.5" x14ac:dyDescent="0.35">
      <c r="A290" s="17"/>
      <c r="B290" s="19"/>
      <c r="C290" s="19"/>
      <c r="D290" s="19"/>
      <c r="E290" s="19"/>
      <c r="F290" s="19"/>
      <c r="G290" s="13" t="s">
        <v>569</v>
      </c>
      <c r="H290" s="19" t="s">
        <v>569</v>
      </c>
      <c r="I290" s="19" t="str">
        <f t="shared" ca="1" si="257"/>
        <v>http://www.mohawkgroup.com</v>
      </c>
      <c r="J290" s="19" t="str">
        <f t="shared" ref="J290:M290" ca="1" si="291">IFERROR(__xludf.DUMMYFUNCTION("iferror(lower(regexreplace(substitute(trim(if(C290="""",""empty"",C290)),"" "",""_""),""[^A-Za-z0-9_]"","""")))"),"empty")</f>
        <v>empty</v>
      </c>
      <c r="K290" s="19" t="str">
        <f t="shared" ca="1" si="291"/>
        <v>empty</v>
      </c>
      <c r="L290" s="19" t="str">
        <f t="shared" ca="1" si="291"/>
        <v>empty</v>
      </c>
      <c r="M290" s="19" t="str">
        <f t="shared" ca="1" si="291"/>
        <v>empty</v>
      </c>
    </row>
    <row r="291" spans="1:13" ht="15.5" x14ac:dyDescent="0.35">
      <c r="A291" s="17"/>
      <c r="B291" s="19"/>
      <c r="C291" s="19"/>
      <c r="D291" s="19"/>
      <c r="E291" s="19"/>
      <c r="F291" s="19"/>
      <c r="G291" s="13" t="s">
        <v>569</v>
      </c>
      <c r="H291" s="19" t="s">
        <v>569</v>
      </c>
      <c r="I291" s="19" t="str">
        <f t="shared" ca="1" si="257"/>
        <v>http://www.mohawkgroup.com</v>
      </c>
      <c r="J291" s="19" t="str">
        <f t="shared" ref="J291:M291" ca="1" si="292">IFERROR(__xludf.DUMMYFUNCTION("iferror(lower(regexreplace(substitute(trim(if(C291="""",""empty"",C291)),"" "",""_""),""[^A-Za-z0-9_]"","""")))"),"empty")</f>
        <v>empty</v>
      </c>
      <c r="K291" s="19" t="str">
        <f t="shared" ca="1" si="292"/>
        <v>empty</v>
      </c>
      <c r="L291" s="19" t="str">
        <f t="shared" ca="1" si="292"/>
        <v>empty</v>
      </c>
      <c r="M291" s="19" t="str">
        <f t="shared" ca="1" si="292"/>
        <v>empty</v>
      </c>
    </row>
    <row r="292" spans="1:13" ht="15.5" x14ac:dyDescent="0.35">
      <c r="A292" s="17"/>
      <c r="B292" s="19"/>
      <c r="C292" s="19"/>
      <c r="D292" s="19"/>
      <c r="E292" s="19"/>
      <c r="F292" s="19"/>
      <c r="G292" s="13" t="s">
        <v>569</v>
      </c>
      <c r="H292" s="19" t="s">
        <v>569</v>
      </c>
      <c r="I292" s="19" t="str">
        <f t="shared" ca="1" si="257"/>
        <v>http://www.mohawkgroup.com</v>
      </c>
      <c r="J292" s="19" t="str">
        <f t="shared" ref="J292:M292" ca="1" si="293">IFERROR(__xludf.DUMMYFUNCTION("iferror(lower(regexreplace(substitute(trim(if(C292="""",""empty"",C292)),"" "",""_""),""[^A-Za-z0-9_]"","""")))"),"empty")</f>
        <v>empty</v>
      </c>
      <c r="K292" s="19" t="str">
        <f t="shared" ca="1" si="293"/>
        <v>empty</v>
      </c>
      <c r="L292" s="19" t="str">
        <f t="shared" ca="1" si="293"/>
        <v>empty</v>
      </c>
      <c r="M292" s="19" t="str">
        <f t="shared" ca="1" si="293"/>
        <v>empty</v>
      </c>
    </row>
    <row r="293" spans="1:13" ht="15.5" x14ac:dyDescent="0.35">
      <c r="A293" s="17"/>
      <c r="B293" s="19"/>
      <c r="C293" s="19"/>
      <c r="D293" s="19"/>
      <c r="E293" s="19"/>
      <c r="F293" s="19"/>
      <c r="G293" s="13" t="s">
        <v>569</v>
      </c>
      <c r="H293" s="19" t="s">
        <v>569</v>
      </c>
      <c r="I293" s="19" t="str">
        <f t="shared" ca="1" si="257"/>
        <v>http://www.mohawkgroup.com</v>
      </c>
      <c r="J293" s="19" t="str">
        <f t="shared" ref="J293:M293" ca="1" si="294">IFERROR(__xludf.DUMMYFUNCTION("iferror(lower(regexreplace(substitute(trim(if(C293="""",""empty"",C293)),"" "",""_""),""[^A-Za-z0-9_]"","""")))"),"empty")</f>
        <v>empty</v>
      </c>
      <c r="K293" s="19" t="str">
        <f t="shared" ca="1" si="294"/>
        <v>empty</v>
      </c>
      <c r="L293" s="19" t="str">
        <f t="shared" ca="1" si="294"/>
        <v>empty</v>
      </c>
      <c r="M293" s="19" t="str">
        <f t="shared" ca="1" si="294"/>
        <v>empty</v>
      </c>
    </row>
    <row r="294" spans="1:13" ht="15.5" x14ac:dyDescent="0.35">
      <c r="A294" s="17"/>
      <c r="B294" s="19"/>
      <c r="C294" s="19"/>
      <c r="D294" s="19"/>
      <c r="E294" s="19"/>
      <c r="F294" s="19"/>
      <c r="G294" s="13" t="s">
        <v>569</v>
      </c>
      <c r="H294" s="19" t="s">
        <v>569</v>
      </c>
      <c r="I294" s="19" t="str">
        <f t="shared" ca="1" si="257"/>
        <v>http://www.mohawkgroup.com</v>
      </c>
      <c r="J294" s="19" t="str">
        <f t="shared" ref="J294:M294" ca="1" si="295">IFERROR(__xludf.DUMMYFUNCTION("iferror(lower(regexreplace(substitute(trim(if(C294="""",""empty"",C294)),"" "",""_""),""[^A-Za-z0-9_]"","""")))"),"empty")</f>
        <v>empty</v>
      </c>
      <c r="K294" s="19" t="str">
        <f t="shared" ca="1" si="295"/>
        <v>empty</v>
      </c>
      <c r="L294" s="19" t="str">
        <f t="shared" ca="1" si="295"/>
        <v>empty</v>
      </c>
      <c r="M294" s="19" t="str">
        <f t="shared" ca="1" si="295"/>
        <v>empty</v>
      </c>
    </row>
    <row r="295" spans="1:13" ht="15.5" x14ac:dyDescent="0.35">
      <c r="A295" s="17"/>
      <c r="B295" s="19"/>
      <c r="C295" s="19"/>
      <c r="D295" s="19"/>
      <c r="E295" s="19"/>
      <c r="F295" s="19"/>
      <c r="G295" s="13" t="s">
        <v>569</v>
      </c>
      <c r="H295" s="19" t="s">
        <v>569</v>
      </c>
      <c r="I295" s="19" t="str">
        <f t="shared" ca="1" si="257"/>
        <v>http://www.mohawkgroup.com</v>
      </c>
      <c r="J295" s="19" t="str">
        <f t="shared" ref="J295:M295" ca="1" si="296">IFERROR(__xludf.DUMMYFUNCTION("iferror(lower(regexreplace(substitute(trim(if(C295="""",""empty"",C295)),"" "",""_""),""[^A-Za-z0-9_]"","""")))"),"empty")</f>
        <v>empty</v>
      </c>
      <c r="K295" s="19" t="str">
        <f t="shared" ca="1" si="296"/>
        <v>empty</v>
      </c>
      <c r="L295" s="19" t="str">
        <f t="shared" ca="1" si="296"/>
        <v>empty</v>
      </c>
      <c r="M295" s="19" t="str">
        <f t="shared" ca="1" si="296"/>
        <v>empty</v>
      </c>
    </row>
    <row r="296" spans="1:13" ht="15.5" x14ac:dyDescent="0.35">
      <c r="A296" s="17"/>
      <c r="B296" s="19"/>
      <c r="C296" s="19"/>
      <c r="D296" s="19"/>
      <c r="E296" s="19"/>
      <c r="F296" s="19"/>
      <c r="G296" s="13" t="s">
        <v>569</v>
      </c>
      <c r="H296" s="19" t="s">
        <v>569</v>
      </c>
      <c r="I296" s="19" t="str">
        <f t="shared" ca="1" si="257"/>
        <v>http://www.mohawkgroup.com</v>
      </c>
      <c r="J296" s="19" t="str">
        <f t="shared" ref="J296:M296" ca="1" si="297">IFERROR(__xludf.DUMMYFUNCTION("iferror(lower(regexreplace(substitute(trim(if(C296="""",""empty"",C296)),"" "",""_""),""[^A-Za-z0-9_]"","""")))"),"empty")</f>
        <v>empty</v>
      </c>
      <c r="K296" s="19" t="str">
        <f t="shared" ca="1" si="297"/>
        <v>empty</v>
      </c>
      <c r="L296" s="19" t="str">
        <f t="shared" ca="1" si="297"/>
        <v>empty</v>
      </c>
      <c r="M296" s="19" t="str">
        <f t="shared" ca="1" si="297"/>
        <v>empty</v>
      </c>
    </row>
    <row r="297" spans="1:13" ht="15.5" x14ac:dyDescent="0.35">
      <c r="A297" s="17"/>
      <c r="B297" s="19"/>
      <c r="C297" s="19"/>
      <c r="D297" s="19"/>
      <c r="E297" s="19"/>
      <c r="F297" s="19"/>
      <c r="G297" s="13" t="s">
        <v>569</v>
      </c>
      <c r="H297" s="19" t="s">
        <v>569</v>
      </c>
      <c r="I297" s="19" t="str">
        <f t="shared" ca="1" si="257"/>
        <v>http://www.mohawkgroup.com</v>
      </c>
      <c r="J297" s="19" t="str">
        <f t="shared" ref="J297:M297" ca="1" si="298">IFERROR(__xludf.DUMMYFUNCTION("iferror(lower(regexreplace(substitute(trim(if(C297="""",""empty"",C297)),"" "",""_""),""[^A-Za-z0-9_]"","""")))"),"empty")</f>
        <v>empty</v>
      </c>
      <c r="K297" s="19" t="str">
        <f t="shared" ca="1" si="298"/>
        <v>empty</v>
      </c>
      <c r="L297" s="19" t="str">
        <f t="shared" ca="1" si="298"/>
        <v>empty</v>
      </c>
      <c r="M297" s="19" t="str">
        <f t="shared" ca="1" si="298"/>
        <v>empty</v>
      </c>
    </row>
    <row r="298" spans="1:13" ht="15.5" x14ac:dyDescent="0.35">
      <c r="A298" s="17"/>
      <c r="B298" s="19"/>
      <c r="C298" s="19"/>
      <c r="D298" s="19"/>
      <c r="E298" s="19"/>
      <c r="F298" s="19"/>
      <c r="G298" s="13" t="s">
        <v>569</v>
      </c>
      <c r="H298" s="19" t="s">
        <v>569</v>
      </c>
      <c r="I298" s="19" t="str">
        <f t="shared" ca="1" si="257"/>
        <v>http://www.mohawkgroup.com</v>
      </c>
      <c r="J298" s="19" t="str">
        <f t="shared" ref="J298:M298" ca="1" si="299">IFERROR(__xludf.DUMMYFUNCTION("iferror(lower(regexreplace(substitute(trim(if(C298="""",""empty"",C298)),"" "",""_""),""[^A-Za-z0-9_]"","""")))"),"empty")</f>
        <v>empty</v>
      </c>
      <c r="K298" s="19" t="str">
        <f t="shared" ca="1" si="299"/>
        <v>empty</v>
      </c>
      <c r="L298" s="19" t="str">
        <f t="shared" ca="1" si="299"/>
        <v>empty</v>
      </c>
      <c r="M298" s="19" t="str">
        <f t="shared" ca="1" si="299"/>
        <v>empty</v>
      </c>
    </row>
    <row r="299" spans="1:13" ht="15.5" x14ac:dyDescent="0.35">
      <c r="A299" s="17"/>
      <c r="B299" s="19"/>
      <c r="C299" s="19"/>
      <c r="D299" s="19"/>
      <c r="E299" s="19"/>
      <c r="F299" s="19"/>
      <c r="G299" s="13" t="s">
        <v>569</v>
      </c>
      <c r="H299" s="19" t="s">
        <v>569</v>
      </c>
      <c r="I299" s="19" t="str">
        <f t="shared" ca="1" si="257"/>
        <v>http://www.mohawkgroup.com</v>
      </c>
      <c r="J299" s="19" t="str">
        <f t="shared" ref="J299:M299" ca="1" si="300">IFERROR(__xludf.DUMMYFUNCTION("iferror(lower(regexreplace(substitute(trim(if(C299="""",""empty"",C299)),"" "",""_""),""[^A-Za-z0-9_]"","""")))"),"empty")</f>
        <v>empty</v>
      </c>
      <c r="K299" s="19" t="str">
        <f t="shared" ca="1" si="300"/>
        <v>empty</v>
      </c>
      <c r="L299" s="19" t="str">
        <f t="shared" ca="1" si="300"/>
        <v>empty</v>
      </c>
      <c r="M299" s="19" t="str">
        <f t="shared" ca="1" si="300"/>
        <v>empty</v>
      </c>
    </row>
    <row r="300" spans="1:13" ht="15.5" x14ac:dyDescent="0.35">
      <c r="A300" s="17"/>
      <c r="B300" s="19"/>
      <c r="C300" s="19"/>
      <c r="D300" s="19"/>
      <c r="E300" s="19"/>
      <c r="F300" s="19"/>
      <c r="G300" s="13" t="s">
        <v>569</v>
      </c>
      <c r="H300" s="19" t="s">
        <v>569</v>
      </c>
      <c r="I300" s="19" t="str">
        <f t="shared" ca="1" si="257"/>
        <v>http://www.mohawkgroup.com</v>
      </c>
      <c r="J300" s="19" t="str">
        <f t="shared" ref="J300:M300" ca="1" si="301">IFERROR(__xludf.DUMMYFUNCTION("iferror(lower(regexreplace(substitute(trim(if(C300="""",""empty"",C300)),"" "",""_""),""[^A-Za-z0-9_]"","""")))"),"empty")</f>
        <v>empty</v>
      </c>
      <c r="K300" s="19" t="str">
        <f t="shared" ca="1" si="301"/>
        <v>empty</v>
      </c>
      <c r="L300" s="19" t="str">
        <f t="shared" ca="1" si="301"/>
        <v>empty</v>
      </c>
      <c r="M300" s="19" t="str">
        <f t="shared" ca="1" si="301"/>
        <v>empty</v>
      </c>
    </row>
    <row r="301" spans="1:13" ht="15.5" x14ac:dyDescent="0.35">
      <c r="A301" s="17"/>
      <c r="B301" s="19"/>
      <c r="C301" s="19"/>
      <c r="D301" s="19"/>
      <c r="E301" s="19"/>
      <c r="F301" s="19"/>
      <c r="G301" s="13" t="s">
        <v>569</v>
      </c>
      <c r="H301" s="19" t="s">
        <v>569</v>
      </c>
      <c r="I301" s="19" t="str">
        <f t="shared" ca="1" si="257"/>
        <v>http://www.mohawkgroup.com</v>
      </c>
      <c r="J301" s="19" t="str">
        <f t="shared" ref="J301:M301" ca="1" si="302">IFERROR(__xludf.DUMMYFUNCTION("iferror(lower(regexreplace(substitute(trim(if(C301="""",""empty"",C301)),"" "",""_""),""[^A-Za-z0-9_]"","""")))"),"empty")</f>
        <v>empty</v>
      </c>
      <c r="K301" s="19" t="str">
        <f t="shared" ca="1" si="302"/>
        <v>empty</v>
      </c>
      <c r="L301" s="19" t="str">
        <f t="shared" ca="1" si="302"/>
        <v>empty</v>
      </c>
      <c r="M301" s="19" t="str">
        <f t="shared" ca="1" si="302"/>
        <v>empty</v>
      </c>
    </row>
    <row r="302" spans="1:13" ht="15.5" x14ac:dyDescent="0.35">
      <c r="A302" s="17"/>
      <c r="B302" s="19"/>
      <c r="C302" s="19"/>
      <c r="D302" s="19"/>
      <c r="E302" s="19"/>
      <c r="F302" s="19"/>
      <c r="G302" s="13" t="s">
        <v>569</v>
      </c>
      <c r="H302" s="19" t="s">
        <v>569</v>
      </c>
      <c r="I302" s="19" t="str">
        <f t="shared" ca="1" si="257"/>
        <v>http://www.mohawkgroup.com</v>
      </c>
      <c r="J302" s="19" t="str">
        <f t="shared" ref="J302:M302" ca="1" si="303">IFERROR(__xludf.DUMMYFUNCTION("iferror(lower(regexreplace(substitute(trim(if(C302="""",""empty"",C302)),"" "",""_""),""[^A-Za-z0-9_]"","""")))"),"empty")</f>
        <v>empty</v>
      </c>
      <c r="K302" s="19" t="str">
        <f t="shared" ca="1" si="303"/>
        <v>empty</v>
      </c>
      <c r="L302" s="19" t="str">
        <f t="shared" ca="1" si="303"/>
        <v>empty</v>
      </c>
      <c r="M302" s="19" t="str">
        <f t="shared" ca="1" si="303"/>
        <v>empty</v>
      </c>
    </row>
    <row r="303" spans="1:13" ht="15.5" x14ac:dyDescent="0.35">
      <c r="A303" s="17"/>
      <c r="B303" s="19"/>
      <c r="C303" s="19"/>
      <c r="D303" s="19"/>
      <c r="E303" s="19"/>
      <c r="F303" s="19"/>
      <c r="G303" s="13" t="s">
        <v>569</v>
      </c>
      <c r="H303" s="19" t="s">
        <v>569</v>
      </c>
      <c r="I303" s="19" t="str">
        <f t="shared" ca="1" si="257"/>
        <v>http://www.mohawkgroup.com</v>
      </c>
      <c r="J303" s="19" t="str">
        <f t="shared" ref="J303:M303" ca="1" si="304">IFERROR(__xludf.DUMMYFUNCTION("iferror(lower(regexreplace(substitute(trim(if(C303="""",""empty"",C303)),"" "",""_""),""[^A-Za-z0-9_]"","""")))"),"empty")</f>
        <v>empty</v>
      </c>
      <c r="K303" s="19" t="str">
        <f t="shared" ca="1" si="304"/>
        <v>empty</v>
      </c>
      <c r="L303" s="19" t="str">
        <f t="shared" ca="1" si="304"/>
        <v>empty</v>
      </c>
      <c r="M303" s="19" t="str">
        <f t="shared" ca="1" si="304"/>
        <v>empty</v>
      </c>
    </row>
    <row r="304" spans="1:13" ht="15.5" x14ac:dyDescent="0.35">
      <c r="A304" s="17"/>
      <c r="B304" s="19"/>
      <c r="C304" s="19"/>
      <c r="D304" s="19"/>
      <c r="E304" s="19"/>
      <c r="F304" s="19"/>
      <c r="G304" s="13" t="s">
        <v>569</v>
      </c>
      <c r="H304" s="19" t="s">
        <v>569</v>
      </c>
      <c r="I304" s="19" t="str">
        <f t="shared" ca="1" si="257"/>
        <v>http://www.mohawkgroup.com</v>
      </c>
      <c r="J304" s="19" t="str">
        <f t="shared" ref="J304:M304" ca="1" si="305">IFERROR(__xludf.DUMMYFUNCTION("iferror(lower(regexreplace(substitute(trim(if(C304="""",""empty"",C304)),"" "",""_""),""[^A-Za-z0-9_]"","""")))"),"empty")</f>
        <v>empty</v>
      </c>
      <c r="K304" s="19" t="str">
        <f t="shared" ca="1" si="305"/>
        <v>empty</v>
      </c>
      <c r="L304" s="19" t="str">
        <f t="shared" ca="1" si="305"/>
        <v>empty</v>
      </c>
      <c r="M304" s="19" t="str">
        <f t="shared" ca="1" si="305"/>
        <v>empty</v>
      </c>
    </row>
    <row r="305" spans="1:13" ht="15.5" x14ac:dyDescent="0.35">
      <c r="A305" s="17"/>
      <c r="B305" s="19"/>
      <c r="C305" s="19"/>
      <c r="D305" s="19"/>
      <c r="E305" s="19"/>
      <c r="F305" s="19"/>
      <c r="G305" s="13" t="s">
        <v>569</v>
      </c>
      <c r="H305" s="19" t="s">
        <v>569</v>
      </c>
      <c r="I305" s="19" t="str">
        <f t="shared" ca="1" si="257"/>
        <v>http://www.mohawkgroup.com</v>
      </c>
      <c r="J305" s="19" t="str">
        <f t="shared" ref="J305:M305" ca="1" si="306">IFERROR(__xludf.DUMMYFUNCTION("iferror(lower(regexreplace(substitute(trim(if(C305="""",""empty"",C305)),"" "",""_""),""[^A-Za-z0-9_]"","""")))"),"empty")</f>
        <v>empty</v>
      </c>
      <c r="K305" s="19" t="str">
        <f t="shared" ca="1" si="306"/>
        <v>empty</v>
      </c>
      <c r="L305" s="19" t="str">
        <f t="shared" ca="1" si="306"/>
        <v>empty</v>
      </c>
      <c r="M305" s="19" t="str">
        <f t="shared" ca="1" si="306"/>
        <v>empty</v>
      </c>
    </row>
    <row r="306" spans="1:13" ht="15.5" x14ac:dyDescent="0.35">
      <c r="A306" s="17"/>
      <c r="B306" s="19"/>
      <c r="C306" s="19"/>
      <c r="D306" s="19"/>
      <c r="E306" s="19"/>
      <c r="F306" s="19"/>
      <c r="G306" s="13" t="s">
        <v>569</v>
      </c>
      <c r="H306" s="19" t="s">
        <v>569</v>
      </c>
      <c r="I306" s="19" t="str">
        <f t="shared" ca="1" si="257"/>
        <v>http://www.mohawkgroup.com</v>
      </c>
      <c r="J306" s="19" t="str">
        <f t="shared" ref="J306:M306" ca="1" si="307">IFERROR(__xludf.DUMMYFUNCTION("iferror(lower(regexreplace(substitute(trim(if(C306="""",""empty"",C306)),"" "",""_""),""[^A-Za-z0-9_]"","""")))"),"empty")</f>
        <v>empty</v>
      </c>
      <c r="K306" s="19" t="str">
        <f t="shared" ca="1" si="307"/>
        <v>empty</v>
      </c>
      <c r="L306" s="19" t="str">
        <f t="shared" ca="1" si="307"/>
        <v>empty</v>
      </c>
      <c r="M306" s="19" t="str">
        <f t="shared" ca="1" si="307"/>
        <v>empty</v>
      </c>
    </row>
    <row r="307" spans="1:13" ht="15.5" x14ac:dyDescent="0.35">
      <c r="A307" s="17"/>
      <c r="B307" s="19"/>
      <c r="C307" s="19"/>
      <c r="D307" s="19"/>
      <c r="E307" s="19"/>
      <c r="F307" s="19"/>
      <c r="G307" s="13" t="s">
        <v>569</v>
      </c>
      <c r="H307" s="19" t="s">
        <v>569</v>
      </c>
      <c r="I307" s="19" t="str">
        <f t="shared" ca="1" si="257"/>
        <v>http://www.mohawkgroup.com</v>
      </c>
      <c r="J307" s="19" t="str">
        <f t="shared" ref="J307:M307" ca="1" si="308">IFERROR(__xludf.DUMMYFUNCTION("iferror(lower(regexreplace(substitute(trim(if(C307="""",""empty"",C307)),"" "",""_""),""[^A-Za-z0-9_]"","""")))"),"empty")</f>
        <v>empty</v>
      </c>
      <c r="K307" s="19" t="str">
        <f t="shared" ca="1" si="308"/>
        <v>empty</v>
      </c>
      <c r="L307" s="19" t="str">
        <f t="shared" ca="1" si="308"/>
        <v>empty</v>
      </c>
      <c r="M307" s="19" t="str">
        <f t="shared" ca="1" si="308"/>
        <v>empty</v>
      </c>
    </row>
    <row r="308" spans="1:13" ht="15.5" x14ac:dyDescent="0.35">
      <c r="A308" s="17"/>
      <c r="B308" s="19"/>
      <c r="C308" s="19"/>
      <c r="D308" s="19"/>
      <c r="E308" s="19"/>
      <c r="F308" s="19"/>
      <c r="G308" s="13" t="s">
        <v>569</v>
      </c>
      <c r="H308" s="19" t="s">
        <v>569</v>
      </c>
      <c r="I308" s="19" t="str">
        <f t="shared" ca="1" si="257"/>
        <v>http://www.mohawkgroup.com</v>
      </c>
      <c r="J308" s="19" t="str">
        <f t="shared" ref="J308:M308" ca="1" si="309">IFERROR(__xludf.DUMMYFUNCTION("iferror(lower(regexreplace(substitute(trim(if(C308="""",""empty"",C308)),"" "",""_""),""[^A-Za-z0-9_]"","""")))"),"empty")</f>
        <v>empty</v>
      </c>
      <c r="K308" s="19" t="str">
        <f t="shared" ca="1" si="309"/>
        <v>empty</v>
      </c>
      <c r="L308" s="19" t="str">
        <f t="shared" ca="1" si="309"/>
        <v>empty</v>
      </c>
      <c r="M308" s="19" t="str">
        <f t="shared" ca="1" si="309"/>
        <v>empty</v>
      </c>
    </row>
    <row r="309" spans="1:13" ht="15.5" x14ac:dyDescent="0.35">
      <c r="A309" s="17"/>
      <c r="B309" s="19"/>
      <c r="C309" s="19"/>
      <c r="D309" s="19"/>
      <c r="E309" s="19"/>
      <c r="F309" s="19"/>
      <c r="G309" s="13" t="s">
        <v>569</v>
      </c>
      <c r="H309" s="19" t="s">
        <v>569</v>
      </c>
      <c r="I309" s="19" t="str">
        <f t="shared" ca="1" si="257"/>
        <v>http://www.mohawkgroup.com</v>
      </c>
      <c r="J309" s="19" t="str">
        <f t="shared" ref="J309:M309" ca="1" si="310">IFERROR(__xludf.DUMMYFUNCTION("iferror(lower(regexreplace(substitute(trim(if(C309="""",""empty"",C309)),"" "",""_""),""[^A-Za-z0-9_]"","""")))"),"empty")</f>
        <v>empty</v>
      </c>
      <c r="K309" s="19" t="str">
        <f t="shared" ca="1" si="310"/>
        <v>empty</v>
      </c>
      <c r="L309" s="19" t="str">
        <f t="shared" ca="1" si="310"/>
        <v>empty</v>
      </c>
      <c r="M309" s="19" t="str">
        <f t="shared" ca="1" si="310"/>
        <v>empty</v>
      </c>
    </row>
    <row r="310" spans="1:13" ht="15.5" x14ac:dyDescent="0.35">
      <c r="A310" s="17"/>
      <c r="B310" s="19"/>
      <c r="C310" s="19"/>
      <c r="D310" s="19"/>
      <c r="E310" s="19"/>
      <c r="F310" s="19"/>
      <c r="G310" s="13" t="s">
        <v>569</v>
      </c>
      <c r="H310" s="19" t="s">
        <v>569</v>
      </c>
      <c r="I310" s="19" t="str">
        <f t="shared" ca="1" si="257"/>
        <v>http://www.mohawkgroup.com</v>
      </c>
      <c r="J310" s="19" t="str">
        <f t="shared" ref="J310:M310" ca="1" si="311">IFERROR(__xludf.DUMMYFUNCTION("iferror(lower(regexreplace(substitute(trim(if(C310="""",""empty"",C310)),"" "",""_""),""[^A-Za-z0-9_]"","""")))"),"empty")</f>
        <v>empty</v>
      </c>
      <c r="K310" s="19" t="str">
        <f t="shared" ca="1" si="311"/>
        <v>empty</v>
      </c>
      <c r="L310" s="19" t="str">
        <f t="shared" ca="1" si="311"/>
        <v>empty</v>
      </c>
      <c r="M310" s="19" t="str">
        <f t="shared" ca="1" si="311"/>
        <v>empty</v>
      </c>
    </row>
    <row r="311" spans="1:13" ht="15.5" x14ac:dyDescent="0.35">
      <c r="A311" s="17"/>
      <c r="B311" s="19"/>
      <c r="C311" s="19"/>
      <c r="D311" s="19"/>
      <c r="E311" s="19"/>
      <c r="F311" s="19"/>
      <c r="G311" s="13" t="s">
        <v>569</v>
      </c>
      <c r="H311" s="19" t="s">
        <v>569</v>
      </c>
      <c r="I311" s="19" t="str">
        <f t="shared" ca="1" si="257"/>
        <v>http://www.mohawkgroup.com</v>
      </c>
      <c r="J311" s="19" t="str">
        <f t="shared" ref="J311:M311" ca="1" si="312">IFERROR(__xludf.DUMMYFUNCTION("iferror(lower(regexreplace(substitute(trim(if(C311="""",""empty"",C311)),"" "",""_""),""[^A-Za-z0-9_]"","""")))"),"empty")</f>
        <v>empty</v>
      </c>
      <c r="K311" s="19" t="str">
        <f t="shared" ca="1" si="312"/>
        <v>empty</v>
      </c>
      <c r="L311" s="19" t="str">
        <f t="shared" ca="1" si="312"/>
        <v>empty</v>
      </c>
      <c r="M311" s="19" t="str">
        <f t="shared" ca="1" si="312"/>
        <v>empty</v>
      </c>
    </row>
    <row r="312" spans="1:13" ht="15.5" x14ac:dyDescent="0.35">
      <c r="A312" s="17"/>
      <c r="B312" s="19"/>
      <c r="C312" s="19"/>
      <c r="D312" s="19"/>
      <c r="E312" s="19"/>
      <c r="F312" s="19"/>
      <c r="G312" s="13" t="s">
        <v>569</v>
      </c>
      <c r="H312" s="19" t="s">
        <v>569</v>
      </c>
      <c r="I312" s="19" t="str">
        <f t="shared" ca="1" si="257"/>
        <v>http://www.mohawkgroup.com</v>
      </c>
      <c r="J312" s="19" t="str">
        <f t="shared" ref="J312:M312" ca="1" si="313">IFERROR(__xludf.DUMMYFUNCTION("iferror(lower(regexreplace(substitute(trim(if(C312="""",""empty"",C312)),"" "",""_""),""[^A-Za-z0-9_]"","""")))"),"empty")</f>
        <v>empty</v>
      </c>
      <c r="K312" s="19" t="str">
        <f t="shared" ca="1" si="313"/>
        <v>empty</v>
      </c>
      <c r="L312" s="19" t="str">
        <f t="shared" ca="1" si="313"/>
        <v>empty</v>
      </c>
      <c r="M312" s="19" t="str">
        <f t="shared" ca="1" si="313"/>
        <v>empty</v>
      </c>
    </row>
    <row r="313" spans="1:13" ht="15.5" x14ac:dyDescent="0.35">
      <c r="A313" s="17"/>
      <c r="B313" s="19"/>
      <c r="C313" s="19"/>
      <c r="D313" s="19"/>
      <c r="E313" s="19"/>
      <c r="F313" s="19"/>
      <c r="G313" s="13" t="s">
        <v>569</v>
      </c>
      <c r="H313" s="19" t="s">
        <v>569</v>
      </c>
      <c r="I313" s="19" t="str">
        <f t="shared" ca="1" si="257"/>
        <v>http://www.mohawkgroup.com</v>
      </c>
      <c r="J313" s="19" t="str">
        <f t="shared" ref="J313:M313" ca="1" si="314">IFERROR(__xludf.DUMMYFUNCTION("iferror(lower(regexreplace(substitute(trim(if(C313="""",""empty"",C313)),"" "",""_""),""[^A-Za-z0-9_]"","""")))"),"empty")</f>
        <v>empty</v>
      </c>
      <c r="K313" s="19" t="str">
        <f t="shared" ca="1" si="314"/>
        <v>empty</v>
      </c>
      <c r="L313" s="19" t="str">
        <f t="shared" ca="1" si="314"/>
        <v>empty</v>
      </c>
      <c r="M313" s="19" t="str">
        <f t="shared" ca="1" si="314"/>
        <v>empty</v>
      </c>
    </row>
    <row r="314" spans="1:13" ht="15.5" x14ac:dyDescent="0.35">
      <c r="A314" s="17"/>
      <c r="B314" s="19"/>
      <c r="C314" s="19"/>
      <c r="D314" s="19"/>
      <c r="E314" s="19"/>
      <c r="F314" s="19"/>
      <c r="G314" s="13" t="s">
        <v>569</v>
      </c>
      <c r="H314" s="19" t="s">
        <v>569</v>
      </c>
      <c r="I314" s="19" t="str">
        <f t="shared" ca="1" si="257"/>
        <v>http://www.mohawkgroup.com</v>
      </c>
      <c r="J314" s="19" t="str">
        <f t="shared" ref="J314:M314" ca="1" si="315">IFERROR(__xludf.DUMMYFUNCTION("iferror(lower(regexreplace(substitute(trim(if(C314="""",""empty"",C314)),"" "",""_""),""[^A-Za-z0-9_]"","""")))"),"empty")</f>
        <v>empty</v>
      </c>
      <c r="K314" s="19" t="str">
        <f t="shared" ca="1" si="315"/>
        <v>empty</v>
      </c>
      <c r="L314" s="19" t="str">
        <f t="shared" ca="1" si="315"/>
        <v>empty</v>
      </c>
      <c r="M314" s="19" t="str">
        <f t="shared" ca="1" si="315"/>
        <v>empty</v>
      </c>
    </row>
    <row r="315" spans="1:13" ht="15.5" x14ac:dyDescent="0.35">
      <c r="A315" s="17"/>
      <c r="B315" s="19"/>
      <c r="C315" s="19"/>
      <c r="D315" s="19"/>
      <c r="E315" s="19"/>
      <c r="F315" s="19"/>
      <c r="G315" s="13" t="s">
        <v>569</v>
      </c>
      <c r="H315" s="19" t="s">
        <v>569</v>
      </c>
      <c r="I315" s="19" t="str">
        <f t="shared" ca="1" si="257"/>
        <v>http://www.mohawkgroup.com</v>
      </c>
      <c r="J315" s="19" t="str">
        <f t="shared" ref="J315:M315" ca="1" si="316">IFERROR(__xludf.DUMMYFUNCTION("iferror(lower(regexreplace(substitute(trim(if(C315="""",""empty"",C315)),"" "",""_""),""[^A-Za-z0-9_]"","""")))"),"empty")</f>
        <v>empty</v>
      </c>
      <c r="K315" s="19" t="str">
        <f t="shared" ca="1" si="316"/>
        <v>empty</v>
      </c>
      <c r="L315" s="19" t="str">
        <f t="shared" ca="1" si="316"/>
        <v>empty</v>
      </c>
      <c r="M315" s="19" t="str">
        <f t="shared" ca="1" si="316"/>
        <v>empty</v>
      </c>
    </row>
    <row r="316" spans="1:13" ht="15.5" x14ac:dyDescent="0.35">
      <c r="A316" s="17"/>
      <c r="B316" s="19"/>
      <c r="C316" s="19"/>
      <c r="D316" s="19"/>
      <c r="E316" s="19"/>
      <c r="F316" s="19"/>
      <c r="G316" s="13" t="s">
        <v>569</v>
      </c>
      <c r="H316" s="19" t="s">
        <v>569</v>
      </c>
      <c r="I316" s="19" t="str">
        <f t="shared" ca="1" si="257"/>
        <v>http://www.mohawkgroup.com</v>
      </c>
      <c r="J316" s="19" t="str">
        <f t="shared" ref="J316:M316" ca="1" si="317">IFERROR(__xludf.DUMMYFUNCTION("iferror(lower(regexreplace(substitute(trim(if(C316="""",""empty"",C316)),"" "",""_""),""[^A-Za-z0-9_]"","""")))"),"empty")</f>
        <v>empty</v>
      </c>
      <c r="K316" s="19" t="str">
        <f t="shared" ca="1" si="317"/>
        <v>empty</v>
      </c>
      <c r="L316" s="19" t="str">
        <f t="shared" ca="1" si="317"/>
        <v>empty</v>
      </c>
      <c r="M316" s="19" t="str">
        <f t="shared" ca="1" si="317"/>
        <v>empty</v>
      </c>
    </row>
    <row r="317" spans="1:13" ht="15.5" x14ac:dyDescent="0.35">
      <c r="A317" s="17"/>
      <c r="B317" s="19"/>
      <c r="C317" s="19"/>
      <c r="D317" s="19"/>
      <c r="E317" s="19"/>
      <c r="F317" s="19"/>
      <c r="G317" s="13" t="s">
        <v>569</v>
      </c>
      <c r="H317" s="19" t="s">
        <v>569</v>
      </c>
      <c r="I317" s="19" t="str">
        <f t="shared" ca="1" si="257"/>
        <v>http://www.mohawkgroup.com</v>
      </c>
      <c r="J317" s="19" t="str">
        <f t="shared" ref="J317:M317" ca="1" si="318">IFERROR(__xludf.DUMMYFUNCTION("iferror(lower(regexreplace(substitute(trim(if(C317="""",""empty"",C317)),"" "",""_""),""[^A-Za-z0-9_]"","""")))"),"empty")</f>
        <v>empty</v>
      </c>
      <c r="K317" s="19" t="str">
        <f t="shared" ca="1" si="318"/>
        <v>empty</v>
      </c>
      <c r="L317" s="19" t="str">
        <f t="shared" ca="1" si="318"/>
        <v>empty</v>
      </c>
      <c r="M317" s="19" t="str">
        <f t="shared" ca="1" si="318"/>
        <v>empty</v>
      </c>
    </row>
    <row r="318" spans="1:13" ht="15.5" x14ac:dyDescent="0.35">
      <c r="A318" s="17"/>
      <c r="B318" s="19"/>
      <c r="C318" s="19"/>
      <c r="D318" s="19"/>
      <c r="E318" s="19"/>
      <c r="F318" s="19"/>
      <c r="G318" s="13" t="s">
        <v>569</v>
      </c>
      <c r="H318" s="19" t="s">
        <v>569</v>
      </c>
      <c r="I318" s="19" t="str">
        <f t="shared" ca="1" si="257"/>
        <v>http://www.mohawkgroup.com</v>
      </c>
      <c r="J318" s="19" t="str">
        <f t="shared" ref="J318:M318" ca="1" si="319">IFERROR(__xludf.DUMMYFUNCTION("iferror(lower(regexreplace(substitute(trim(if(C318="""",""empty"",C318)),"" "",""_""),""[^A-Za-z0-9_]"","""")))"),"empty")</f>
        <v>empty</v>
      </c>
      <c r="K318" s="19" t="str">
        <f t="shared" ca="1" si="319"/>
        <v>empty</v>
      </c>
      <c r="L318" s="19" t="str">
        <f t="shared" ca="1" si="319"/>
        <v>empty</v>
      </c>
      <c r="M318" s="19" t="str">
        <f t="shared" ca="1" si="319"/>
        <v>empty</v>
      </c>
    </row>
    <row r="319" spans="1:13" ht="15.5" x14ac:dyDescent="0.35">
      <c r="A319" s="17"/>
      <c r="B319" s="19"/>
      <c r="C319" s="19"/>
      <c r="D319" s="19"/>
      <c r="E319" s="19"/>
      <c r="F319" s="19"/>
      <c r="G319" s="13" t="s">
        <v>569</v>
      </c>
      <c r="H319" s="19" t="s">
        <v>569</v>
      </c>
      <c r="I319" s="19" t="str">
        <f t="shared" ca="1" si="257"/>
        <v>http://www.mohawkgroup.com</v>
      </c>
      <c r="J319" s="19" t="str">
        <f t="shared" ref="J319:M319" ca="1" si="320">IFERROR(__xludf.DUMMYFUNCTION("iferror(lower(regexreplace(substitute(trim(if(C319="""",""empty"",C319)),"" "",""_""),""[^A-Za-z0-9_]"","""")))"),"empty")</f>
        <v>empty</v>
      </c>
      <c r="K319" s="19" t="str">
        <f t="shared" ca="1" si="320"/>
        <v>empty</v>
      </c>
      <c r="L319" s="19" t="str">
        <f t="shared" ca="1" si="320"/>
        <v>empty</v>
      </c>
      <c r="M319" s="19" t="str">
        <f t="shared" ca="1" si="320"/>
        <v>empty</v>
      </c>
    </row>
    <row r="320" spans="1:13" ht="15.5" x14ac:dyDescent="0.35">
      <c r="A320" s="17"/>
      <c r="B320" s="19"/>
      <c r="C320" s="19"/>
      <c r="D320" s="19"/>
      <c r="E320" s="19"/>
      <c r="F320" s="19"/>
      <c r="G320" s="13" t="s">
        <v>569</v>
      </c>
      <c r="H320" s="19" t="s">
        <v>569</v>
      </c>
      <c r="I320" s="19" t="str">
        <f t="shared" ca="1" si="257"/>
        <v>http://www.mohawkgroup.com</v>
      </c>
      <c r="J320" s="19" t="str">
        <f t="shared" ref="J320:M320" ca="1" si="321">IFERROR(__xludf.DUMMYFUNCTION("iferror(lower(regexreplace(substitute(trim(if(C320="""",""empty"",C320)),"" "",""_""),""[^A-Za-z0-9_]"","""")))"),"empty")</f>
        <v>empty</v>
      </c>
      <c r="K320" s="19" t="str">
        <f t="shared" ca="1" si="321"/>
        <v>empty</v>
      </c>
      <c r="L320" s="19" t="str">
        <f t="shared" ca="1" si="321"/>
        <v>empty</v>
      </c>
      <c r="M320" s="19" t="str">
        <f t="shared" ca="1" si="321"/>
        <v>empty</v>
      </c>
    </row>
    <row r="321" spans="1:13" ht="15.5" x14ac:dyDescent="0.35">
      <c r="A321" s="17"/>
      <c r="B321" s="19"/>
      <c r="C321" s="19"/>
      <c r="D321" s="19"/>
      <c r="E321" s="19"/>
      <c r="F321" s="19"/>
      <c r="G321" s="13" t="s">
        <v>569</v>
      </c>
      <c r="H321" s="19" t="s">
        <v>569</v>
      </c>
      <c r="I321" s="19" t="str">
        <f t="shared" ca="1" si="257"/>
        <v>http://www.mohawkgroup.com</v>
      </c>
      <c r="J321" s="19" t="str">
        <f t="shared" ref="J321:M321" ca="1" si="322">IFERROR(__xludf.DUMMYFUNCTION("iferror(lower(regexreplace(substitute(trim(if(C321="""",""empty"",C321)),"" "",""_""),""[^A-Za-z0-9_]"","""")))"),"empty")</f>
        <v>empty</v>
      </c>
      <c r="K321" s="19" t="str">
        <f t="shared" ca="1" si="322"/>
        <v>empty</v>
      </c>
      <c r="L321" s="19" t="str">
        <f t="shared" ca="1" si="322"/>
        <v>empty</v>
      </c>
      <c r="M321" s="19" t="str">
        <f t="shared" ca="1" si="322"/>
        <v>empty</v>
      </c>
    </row>
    <row r="322" spans="1:13" ht="15.5" x14ac:dyDescent="0.35">
      <c r="A322" s="17"/>
      <c r="B322" s="19"/>
      <c r="C322" s="19"/>
      <c r="D322" s="19"/>
      <c r="E322" s="19"/>
      <c r="F322" s="19"/>
      <c r="G322" s="13" t="s">
        <v>569</v>
      </c>
      <c r="H322" s="19" t="s">
        <v>569</v>
      </c>
      <c r="I322" s="19" t="str">
        <f t="shared" ca="1" si="257"/>
        <v>http://www.mohawkgroup.com</v>
      </c>
      <c r="J322" s="19" t="str">
        <f t="shared" ref="J322:M322" ca="1" si="323">IFERROR(__xludf.DUMMYFUNCTION("iferror(lower(regexreplace(substitute(trim(if(C322="""",""empty"",C322)),"" "",""_""),""[^A-Za-z0-9_]"","""")))"),"empty")</f>
        <v>empty</v>
      </c>
      <c r="K322" s="19" t="str">
        <f t="shared" ca="1" si="323"/>
        <v>empty</v>
      </c>
      <c r="L322" s="19" t="str">
        <f t="shared" ca="1" si="323"/>
        <v>empty</v>
      </c>
      <c r="M322" s="19" t="str">
        <f t="shared" ca="1" si="323"/>
        <v>empty</v>
      </c>
    </row>
    <row r="323" spans="1:13" ht="15.5" x14ac:dyDescent="0.35">
      <c r="A323" s="17"/>
      <c r="B323" s="19"/>
      <c r="C323" s="19"/>
      <c r="D323" s="19"/>
      <c r="E323" s="19"/>
      <c r="F323" s="19"/>
      <c r="G323" s="13" t="s">
        <v>569</v>
      </c>
      <c r="H323" s="19" t="s">
        <v>569</v>
      </c>
      <c r="I323" s="19" t="str">
        <f t="shared" ca="1" si="257"/>
        <v>http://www.mohawkgroup.com</v>
      </c>
      <c r="J323" s="19" t="str">
        <f t="shared" ref="J323:M323" ca="1" si="324">IFERROR(__xludf.DUMMYFUNCTION("iferror(lower(regexreplace(substitute(trim(if(C323="""",""empty"",C323)),"" "",""_""),""[^A-Za-z0-9_]"","""")))"),"empty")</f>
        <v>empty</v>
      </c>
      <c r="K323" s="19" t="str">
        <f t="shared" ca="1" si="324"/>
        <v>empty</v>
      </c>
      <c r="L323" s="19" t="str">
        <f t="shared" ca="1" si="324"/>
        <v>empty</v>
      </c>
      <c r="M323" s="19" t="str">
        <f t="shared" ca="1" si="324"/>
        <v>empty</v>
      </c>
    </row>
    <row r="324" spans="1:13" ht="15.5" x14ac:dyDescent="0.35">
      <c r="A324" s="17"/>
      <c r="B324" s="19"/>
      <c r="C324" s="19"/>
      <c r="D324" s="19"/>
      <c r="E324" s="19"/>
      <c r="F324" s="19"/>
      <c r="G324" s="13" t="s">
        <v>569</v>
      </c>
      <c r="H324" s="19" t="s">
        <v>569</v>
      </c>
      <c r="I324" s="19" t="str">
        <f t="shared" ca="1" si="257"/>
        <v>http://www.mohawkgroup.com</v>
      </c>
      <c r="J324" s="19" t="str">
        <f t="shared" ref="J324:M324" ca="1" si="325">IFERROR(__xludf.DUMMYFUNCTION("iferror(lower(regexreplace(substitute(trim(if(C324="""",""empty"",C324)),"" "",""_""),""[^A-Za-z0-9_]"","""")))"),"empty")</f>
        <v>empty</v>
      </c>
      <c r="K324" s="19" t="str">
        <f t="shared" ca="1" si="325"/>
        <v>empty</v>
      </c>
      <c r="L324" s="19" t="str">
        <f t="shared" ca="1" si="325"/>
        <v>empty</v>
      </c>
      <c r="M324" s="19" t="str">
        <f t="shared" ca="1" si="325"/>
        <v>empty</v>
      </c>
    </row>
    <row r="325" spans="1:13" ht="15.5" x14ac:dyDescent="0.35">
      <c r="A325" s="17"/>
      <c r="B325" s="19"/>
      <c r="C325" s="19"/>
      <c r="D325" s="19"/>
      <c r="E325" s="19"/>
      <c r="F325" s="19"/>
      <c r="G325" s="13" t="s">
        <v>569</v>
      </c>
      <c r="H325" s="19" t="s">
        <v>569</v>
      </c>
      <c r="I325" s="19" t="str">
        <f t="shared" ca="1" si="257"/>
        <v>http://www.mohawkgroup.com</v>
      </c>
      <c r="J325" s="19" t="str">
        <f t="shared" ref="J325:M325" ca="1" si="326">IFERROR(__xludf.DUMMYFUNCTION("iferror(lower(regexreplace(substitute(trim(if(C325="""",""empty"",C325)),"" "",""_""),""[^A-Za-z0-9_]"","""")))"),"empty")</f>
        <v>empty</v>
      </c>
      <c r="K325" s="19" t="str">
        <f t="shared" ca="1" si="326"/>
        <v>empty</v>
      </c>
      <c r="L325" s="19" t="str">
        <f t="shared" ca="1" si="326"/>
        <v>empty</v>
      </c>
      <c r="M325" s="19" t="str">
        <f t="shared" ca="1" si="326"/>
        <v>empty</v>
      </c>
    </row>
    <row r="326" spans="1:13" ht="15.5" x14ac:dyDescent="0.35">
      <c r="A326" s="17"/>
      <c r="B326" s="19"/>
      <c r="C326" s="19"/>
      <c r="D326" s="19"/>
      <c r="E326" s="19"/>
      <c r="F326" s="19"/>
      <c r="G326" s="13" t="s">
        <v>569</v>
      </c>
      <c r="H326" s="19" t="s">
        <v>569</v>
      </c>
      <c r="I326" s="19" t="str">
        <f t="shared" ca="1" si="257"/>
        <v>http://www.mohawkgroup.com</v>
      </c>
      <c r="J326" s="19" t="str">
        <f t="shared" ref="J326:M326" ca="1" si="327">IFERROR(__xludf.DUMMYFUNCTION("iferror(lower(regexreplace(substitute(trim(if(C326="""",""empty"",C326)),"" "",""_""),""[^A-Za-z0-9_]"","""")))"),"empty")</f>
        <v>empty</v>
      </c>
      <c r="K326" s="19" t="str">
        <f t="shared" ca="1" si="327"/>
        <v>empty</v>
      </c>
      <c r="L326" s="19" t="str">
        <f t="shared" ca="1" si="327"/>
        <v>empty</v>
      </c>
      <c r="M326" s="19" t="str">
        <f t="shared" ca="1" si="327"/>
        <v>empty</v>
      </c>
    </row>
    <row r="327" spans="1:13" ht="15.5" x14ac:dyDescent="0.35">
      <c r="A327" s="17"/>
      <c r="B327" s="19"/>
      <c r="C327" s="19"/>
      <c r="D327" s="19"/>
      <c r="E327" s="19"/>
      <c r="F327" s="19"/>
      <c r="G327" s="13" t="s">
        <v>569</v>
      </c>
      <c r="H327" s="19" t="s">
        <v>569</v>
      </c>
      <c r="I327" s="19" t="str">
        <f t="shared" ca="1" si="257"/>
        <v>http://www.mohawkgroup.com</v>
      </c>
      <c r="J327" s="19" t="str">
        <f t="shared" ref="J327:M327" ca="1" si="328">IFERROR(__xludf.DUMMYFUNCTION("iferror(lower(regexreplace(substitute(trim(if(C327="""",""empty"",C327)),"" "",""_""),""[^A-Za-z0-9_]"","""")))"),"empty")</f>
        <v>empty</v>
      </c>
      <c r="K327" s="19" t="str">
        <f t="shared" ca="1" si="328"/>
        <v>empty</v>
      </c>
      <c r="L327" s="19" t="str">
        <f t="shared" ca="1" si="328"/>
        <v>empty</v>
      </c>
      <c r="M327" s="19" t="str">
        <f t="shared" ca="1" si="328"/>
        <v>empty</v>
      </c>
    </row>
    <row r="328" spans="1:13" ht="15.5" x14ac:dyDescent="0.35">
      <c r="A328" s="17"/>
      <c r="B328" s="19"/>
      <c r="C328" s="19"/>
      <c r="D328" s="19"/>
      <c r="E328" s="19"/>
      <c r="F328" s="19"/>
      <c r="G328" s="13" t="s">
        <v>569</v>
      </c>
      <c r="H328" s="19" t="s">
        <v>569</v>
      </c>
      <c r="I328" s="19" t="str">
        <f t="shared" ca="1" si="257"/>
        <v>http://www.mohawkgroup.com</v>
      </c>
      <c r="J328" s="19" t="str">
        <f t="shared" ref="J328:M328" ca="1" si="329">IFERROR(__xludf.DUMMYFUNCTION("iferror(lower(regexreplace(substitute(trim(if(C328="""",""empty"",C328)),"" "",""_""),""[^A-Za-z0-9_]"","""")))"),"empty")</f>
        <v>empty</v>
      </c>
      <c r="K328" s="19" t="str">
        <f t="shared" ca="1" si="329"/>
        <v>empty</v>
      </c>
      <c r="L328" s="19" t="str">
        <f t="shared" ca="1" si="329"/>
        <v>empty</v>
      </c>
      <c r="M328" s="19" t="str">
        <f t="shared" ca="1" si="329"/>
        <v>empty</v>
      </c>
    </row>
    <row r="329" spans="1:13" ht="15.5" x14ac:dyDescent="0.35">
      <c r="A329" s="17"/>
      <c r="B329" s="19"/>
      <c r="C329" s="19"/>
      <c r="D329" s="19"/>
      <c r="E329" s="19"/>
      <c r="F329" s="19"/>
      <c r="G329" s="13" t="s">
        <v>569</v>
      </c>
      <c r="H329" s="19" t="s">
        <v>569</v>
      </c>
      <c r="I329" s="19" t="str">
        <f t="shared" ca="1" si="257"/>
        <v>http://www.mohawkgroup.com</v>
      </c>
      <c r="J329" s="19" t="str">
        <f t="shared" ref="J329:M329" ca="1" si="330">IFERROR(__xludf.DUMMYFUNCTION("iferror(lower(regexreplace(substitute(trim(if(C329="""",""empty"",C329)),"" "",""_""),""[^A-Za-z0-9_]"","""")))"),"empty")</f>
        <v>empty</v>
      </c>
      <c r="K329" s="19" t="str">
        <f t="shared" ca="1" si="330"/>
        <v>empty</v>
      </c>
      <c r="L329" s="19" t="str">
        <f t="shared" ca="1" si="330"/>
        <v>empty</v>
      </c>
      <c r="M329" s="19" t="str">
        <f t="shared" ca="1" si="330"/>
        <v>empty</v>
      </c>
    </row>
    <row r="330" spans="1:13" ht="15.5" x14ac:dyDescent="0.35">
      <c r="A330" s="17"/>
      <c r="B330" s="19"/>
      <c r="C330" s="19"/>
      <c r="D330" s="19"/>
      <c r="E330" s="19"/>
      <c r="F330" s="19"/>
      <c r="G330" s="13" t="s">
        <v>569</v>
      </c>
      <c r="H330" s="19" t="s">
        <v>569</v>
      </c>
      <c r="I330" s="19" t="str">
        <f t="shared" ca="1" si="257"/>
        <v>http://www.mohawkgroup.com</v>
      </c>
      <c r="J330" s="19" t="str">
        <f t="shared" ref="J330:M330" ca="1" si="331">IFERROR(__xludf.DUMMYFUNCTION("iferror(lower(regexreplace(substitute(trim(if(C330="""",""empty"",C330)),"" "",""_""),""[^A-Za-z0-9_]"","""")))"),"empty")</f>
        <v>empty</v>
      </c>
      <c r="K330" s="19" t="str">
        <f t="shared" ca="1" si="331"/>
        <v>empty</v>
      </c>
      <c r="L330" s="19" t="str">
        <f t="shared" ca="1" si="331"/>
        <v>empty</v>
      </c>
      <c r="M330" s="19" t="str">
        <f t="shared" ca="1" si="331"/>
        <v>empty</v>
      </c>
    </row>
    <row r="331" spans="1:13" ht="15.5" x14ac:dyDescent="0.35">
      <c r="A331" s="17"/>
      <c r="B331" s="19"/>
      <c r="C331" s="19"/>
      <c r="D331" s="19"/>
      <c r="E331" s="19"/>
      <c r="F331" s="19"/>
      <c r="G331" s="13" t="s">
        <v>569</v>
      </c>
      <c r="H331" s="19" t="s">
        <v>569</v>
      </c>
      <c r="I331" s="19" t="str">
        <f t="shared" ca="1" si="257"/>
        <v>http://www.mohawkgroup.com</v>
      </c>
      <c r="J331" s="19" t="str">
        <f t="shared" ref="J331:M331" ca="1" si="332">IFERROR(__xludf.DUMMYFUNCTION("iferror(lower(regexreplace(substitute(trim(if(C331="""",""empty"",C331)),"" "",""_""),""[^A-Za-z0-9_]"","""")))"),"empty")</f>
        <v>empty</v>
      </c>
      <c r="K331" s="19" t="str">
        <f t="shared" ca="1" si="332"/>
        <v>empty</v>
      </c>
      <c r="L331" s="19" t="str">
        <f t="shared" ca="1" si="332"/>
        <v>empty</v>
      </c>
      <c r="M331" s="19" t="str">
        <f t="shared" ca="1" si="332"/>
        <v>empty</v>
      </c>
    </row>
    <row r="332" spans="1:13" ht="15.5" x14ac:dyDescent="0.35">
      <c r="A332" s="17"/>
      <c r="B332" s="19"/>
      <c r="C332" s="19"/>
      <c r="D332" s="19"/>
      <c r="E332" s="19"/>
      <c r="F332" s="19"/>
      <c r="G332" s="13" t="s">
        <v>569</v>
      </c>
      <c r="H332" s="19" t="s">
        <v>569</v>
      </c>
      <c r="I332" s="19" t="str">
        <f t="shared" ca="1" si="257"/>
        <v>http://www.mohawkgroup.com</v>
      </c>
      <c r="J332" s="19" t="str">
        <f t="shared" ref="J332:M332" ca="1" si="333">IFERROR(__xludf.DUMMYFUNCTION("iferror(lower(regexreplace(substitute(trim(if(C332="""",""empty"",C332)),"" "",""_""),""[^A-Za-z0-9_]"","""")))"),"empty")</f>
        <v>empty</v>
      </c>
      <c r="K332" s="19" t="str">
        <f t="shared" ca="1" si="333"/>
        <v>empty</v>
      </c>
      <c r="L332" s="19" t="str">
        <f t="shared" ca="1" si="333"/>
        <v>empty</v>
      </c>
      <c r="M332" s="19" t="str">
        <f t="shared" ca="1" si="333"/>
        <v>empty</v>
      </c>
    </row>
    <row r="333" spans="1:13" ht="15.5" x14ac:dyDescent="0.35">
      <c r="A333" s="17"/>
      <c r="B333" s="19"/>
      <c r="C333" s="19"/>
      <c r="D333" s="19"/>
      <c r="E333" s="19"/>
      <c r="F333" s="19"/>
      <c r="G333" s="13" t="s">
        <v>569</v>
      </c>
      <c r="H333" s="19" t="s">
        <v>569</v>
      </c>
      <c r="I333" s="19" t="str">
        <f t="shared" ca="1" si="257"/>
        <v>http://www.mohawkgroup.com</v>
      </c>
      <c r="J333" s="19" t="str">
        <f t="shared" ref="J333:M333" ca="1" si="334">IFERROR(__xludf.DUMMYFUNCTION("iferror(lower(regexreplace(substitute(trim(if(C333="""",""empty"",C333)),"" "",""_""),""[^A-Za-z0-9_]"","""")))"),"empty")</f>
        <v>empty</v>
      </c>
      <c r="K333" s="19" t="str">
        <f t="shared" ca="1" si="334"/>
        <v>empty</v>
      </c>
      <c r="L333" s="19" t="str">
        <f t="shared" ca="1" si="334"/>
        <v>empty</v>
      </c>
      <c r="M333" s="19" t="str">
        <f t="shared" ca="1" si="334"/>
        <v>empty</v>
      </c>
    </row>
    <row r="334" spans="1:13" ht="15.5" x14ac:dyDescent="0.35">
      <c r="A334" s="17"/>
      <c r="B334" s="19"/>
      <c r="C334" s="19"/>
      <c r="D334" s="19"/>
      <c r="E334" s="19"/>
      <c r="F334" s="19"/>
      <c r="G334" s="13" t="s">
        <v>569</v>
      </c>
      <c r="H334" s="19" t="s">
        <v>569</v>
      </c>
      <c r="I334" s="19" t="str">
        <f t="shared" ca="1" si="257"/>
        <v>http://www.mohawkgroup.com</v>
      </c>
      <c r="J334" s="19" t="str">
        <f t="shared" ref="J334:M334" ca="1" si="335">IFERROR(__xludf.DUMMYFUNCTION("iferror(lower(regexreplace(substitute(trim(if(C334="""",""empty"",C334)),"" "",""_""),""[^A-Za-z0-9_]"","""")))"),"empty")</f>
        <v>empty</v>
      </c>
      <c r="K334" s="19" t="str">
        <f t="shared" ca="1" si="335"/>
        <v>empty</v>
      </c>
      <c r="L334" s="19" t="str">
        <f t="shared" ca="1" si="335"/>
        <v>empty</v>
      </c>
      <c r="M334" s="19" t="str">
        <f t="shared" ca="1" si="335"/>
        <v>empty</v>
      </c>
    </row>
    <row r="335" spans="1:13" ht="15.5" x14ac:dyDescent="0.35">
      <c r="A335" s="17"/>
      <c r="B335" s="19"/>
      <c r="C335" s="19"/>
      <c r="D335" s="19"/>
      <c r="E335" s="19"/>
      <c r="F335" s="19"/>
      <c r="G335" s="13" t="s">
        <v>569</v>
      </c>
      <c r="H335" s="19" t="s">
        <v>569</v>
      </c>
      <c r="I335" s="19" t="str">
        <f t="shared" ca="1" si="257"/>
        <v>http://www.mohawkgroup.com</v>
      </c>
      <c r="J335" s="19" t="str">
        <f t="shared" ref="J335:M335" ca="1" si="336">IFERROR(__xludf.DUMMYFUNCTION("iferror(lower(regexreplace(substitute(trim(if(C335="""",""empty"",C335)),"" "",""_""),""[^A-Za-z0-9_]"","""")))"),"empty")</f>
        <v>empty</v>
      </c>
      <c r="K335" s="19" t="str">
        <f t="shared" ca="1" si="336"/>
        <v>empty</v>
      </c>
      <c r="L335" s="19" t="str">
        <f t="shared" ca="1" si="336"/>
        <v>empty</v>
      </c>
      <c r="M335" s="19" t="str">
        <f t="shared" ca="1" si="336"/>
        <v>empty</v>
      </c>
    </row>
    <row r="336" spans="1:13" ht="15.5" x14ac:dyDescent="0.35">
      <c r="A336" s="17"/>
      <c r="B336" s="19"/>
      <c r="C336" s="19"/>
      <c r="D336" s="19"/>
      <c r="E336" s="19"/>
      <c r="F336" s="19"/>
      <c r="G336" s="13" t="s">
        <v>569</v>
      </c>
      <c r="H336" s="19" t="s">
        <v>569</v>
      </c>
      <c r="I336" s="19" t="str">
        <f t="shared" ca="1" si="257"/>
        <v>http://www.mohawkgroup.com</v>
      </c>
      <c r="J336" s="19" t="str">
        <f t="shared" ref="J336:M336" ca="1" si="337">IFERROR(__xludf.DUMMYFUNCTION("iferror(lower(regexreplace(substitute(trim(if(C336="""",""empty"",C336)),"" "",""_""),""[^A-Za-z0-9_]"","""")))"),"empty")</f>
        <v>empty</v>
      </c>
      <c r="K336" s="19" t="str">
        <f t="shared" ca="1" si="337"/>
        <v>empty</v>
      </c>
      <c r="L336" s="19" t="str">
        <f t="shared" ca="1" si="337"/>
        <v>empty</v>
      </c>
      <c r="M336" s="19" t="str">
        <f t="shared" ca="1" si="337"/>
        <v>empty</v>
      </c>
    </row>
    <row r="337" spans="1:13" ht="15.5" x14ac:dyDescent="0.35">
      <c r="A337" s="17"/>
      <c r="B337" s="19"/>
      <c r="C337" s="19"/>
      <c r="D337" s="19"/>
      <c r="E337" s="19"/>
      <c r="F337" s="19"/>
      <c r="G337" s="13" t="s">
        <v>569</v>
      </c>
      <c r="H337" s="19" t="s">
        <v>569</v>
      </c>
      <c r="I337" s="19" t="str">
        <f t="shared" ca="1" si="257"/>
        <v>http://www.mohawkgroup.com</v>
      </c>
      <c r="J337" s="19" t="str">
        <f t="shared" ref="J337:M337" ca="1" si="338">IFERROR(__xludf.DUMMYFUNCTION("iferror(lower(regexreplace(substitute(trim(if(C337="""",""empty"",C337)),"" "",""_""),""[^A-Za-z0-9_]"","""")))"),"empty")</f>
        <v>empty</v>
      </c>
      <c r="K337" s="19" t="str">
        <f t="shared" ca="1" si="338"/>
        <v>empty</v>
      </c>
      <c r="L337" s="19" t="str">
        <f t="shared" ca="1" si="338"/>
        <v>empty</v>
      </c>
      <c r="M337" s="19" t="str">
        <f t="shared" ca="1" si="338"/>
        <v>empty</v>
      </c>
    </row>
    <row r="338" spans="1:13" ht="15.5" x14ac:dyDescent="0.35">
      <c r="A338" s="17"/>
      <c r="B338" s="19"/>
      <c r="C338" s="19"/>
      <c r="D338" s="19"/>
      <c r="E338" s="19"/>
      <c r="F338" s="19"/>
      <c r="G338" s="13" t="s">
        <v>569</v>
      </c>
      <c r="H338" s="19" t="s">
        <v>569</v>
      </c>
      <c r="I338" s="19" t="str">
        <f t="shared" ca="1" si="257"/>
        <v>http://www.mohawkgroup.com</v>
      </c>
      <c r="J338" s="19" t="str">
        <f t="shared" ref="J338:M338" ca="1" si="339">IFERROR(__xludf.DUMMYFUNCTION("iferror(lower(regexreplace(substitute(trim(if(C338="""",""empty"",C338)),"" "",""_""),""[^A-Za-z0-9_]"","""")))"),"empty")</f>
        <v>empty</v>
      </c>
      <c r="K338" s="19" t="str">
        <f t="shared" ca="1" si="339"/>
        <v>empty</v>
      </c>
      <c r="L338" s="19" t="str">
        <f t="shared" ca="1" si="339"/>
        <v>empty</v>
      </c>
      <c r="M338" s="19" t="str">
        <f t="shared" ca="1" si="339"/>
        <v>empty</v>
      </c>
    </row>
    <row r="339" spans="1:13" ht="15.5" x14ac:dyDescent="0.35">
      <c r="A339" s="17"/>
      <c r="B339" s="19"/>
      <c r="C339" s="19"/>
      <c r="D339" s="19"/>
      <c r="E339" s="19"/>
      <c r="F339" s="19"/>
      <c r="G339" s="13" t="s">
        <v>569</v>
      </c>
      <c r="H339" s="19" t="s">
        <v>569</v>
      </c>
      <c r="I339" s="19" t="str">
        <f t="shared" ca="1" si="257"/>
        <v>http://www.mohawkgroup.com</v>
      </c>
      <c r="J339" s="19" t="str">
        <f t="shared" ref="J339:M339" ca="1" si="340">IFERROR(__xludf.DUMMYFUNCTION("iferror(lower(regexreplace(substitute(trim(if(C339="""",""empty"",C339)),"" "",""_""),""[^A-Za-z0-9_]"","""")))"),"empty")</f>
        <v>empty</v>
      </c>
      <c r="K339" s="19" t="str">
        <f t="shared" ca="1" si="340"/>
        <v>empty</v>
      </c>
      <c r="L339" s="19" t="str">
        <f t="shared" ca="1" si="340"/>
        <v>empty</v>
      </c>
      <c r="M339" s="19" t="str">
        <f t="shared" ca="1" si="340"/>
        <v>empty</v>
      </c>
    </row>
    <row r="340" spans="1:13" ht="15.5" x14ac:dyDescent="0.35">
      <c r="A340" s="17"/>
      <c r="B340" s="19"/>
      <c r="C340" s="19"/>
      <c r="D340" s="19"/>
      <c r="E340" s="19"/>
      <c r="F340" s="19"/>
      <c r="G340" s="13" t="s">
        <v>569</v>
      </c>
      <c r="H340" s="19" t="s">
        <v>569</v>
      </c>
      <c r="I340" s="19" t="str">
        <f t="shared" ca="1" si="257"/>
        <v>http://www.mohawkgroup.com</v>
      </c>
      <c r="J340" s="19" t="str">
        <f t="shared" ref="J340:M340" ca="1" si="341">IFERROR(__xludf.DUMMYFUNCTION("iferror(lower(regexreplace(substitute(trim(if(C340="""",""empty"",C340)),"" "",""_""),""[^A-Za-z0-9_]"","""")))"),"empty")</f>
        <v>empty</v>
      </c>
      <c r="K340" s="19" t="str">
        <f t="shared" ca="1" si="341"/>
        <v>empty</v>
      </c>
      <c r="L340" s="19" t="str">
        <f t="shared" ca="1" si="341"/>
        <v>empty</v>
      </c>
      <c r="M340" s="19" t="str">
        <f t="shared" ca="1" si="341"/>
        <v>empty</v>
      </c>
    </row>
    <row r="341" spans="1:13" ht="15.5" x14ac:dyDescent="0.35">
      <c r="A341" s="17"/>
      <c r="B341" s="19"/>
      <c r="C341" s="19"/>
      <c r="D341" s="19"/>
      <c r="E341" s="19"/>
      <c r="F341" s="19"/>
      <c r="G341" s="13" t="s">
        <v>569</v>
      </c>
      <c r="H341" s="19" t="s">
        <v>569</v>
      </c>
      <c r="I341" s="19" t="str">
        <f t="shared" ca="1" si="257"/>
        <v>http://www.mohawkgroup.com</v>
      </c>
      <c r="J341" s="19" t="str">
        <f t="shared" ref="J341:M341" ca="1" si="342">IFERROR(__xludf.DUMMYFUNCTION("iferror(lower(regexreplace(substitute(trim(if(C341="""",""empty"",C341)),"" "",""_""),""[^A-Za-z0-9_]"","""")))"),"empty")</f>
        <v>empty</v>
      </c>
      <c r="K341" s="19" t="str">
        <f t="shared" ca="1" si="342"/>
        <v>empty</v>
      </c>
      <c r="L341" s="19" t="str">
        <f t="shared" ca="1" si="342"/>
        <v>empty</v>
      </c>
      <c r="M341" s="19" t="str">
        <f t="shared" ca="1" si="342"/>
        <v>empty</v>
      </c>
    </row>
    <row r="342" spans="1:13" ht="15.5" x14ac:dyDescent="0.35">
      <c r="A342" s="17"/>
      <c r="B342" s="19"/>
      <c r="C342" s="19"/>
      <c r="D342" s="19"/>
      <c r="E342" s="19"/>
      <c r="F342" s="19"/>
      <c r="G342" s="13" t="s">
        <v>569</v>
      </c>
      <c r="H342" s="19" t="s">
        <v>569</v>
      </c>
      <c r="I342" s="19" t="str">
        <f t="shared" ca="1" si="257"/>
        <v>http://www.mohawkgroup.com</v>
      </c>
      <c r="J342" s="19" t="str">
        <f t="shared" ref="J342:M342" ca="1" si="343">IFERROR(__xludf.DUMMYFUNCTION("iferror(lower(regexreplace(substitute(trim(if(C342="""",""empty"",C342)),"" "",""_""),""[^A-Za-z0-9_]"","""")))"),"empty")</f>
        <v>empty</v>
      </c>
      <c r="K342" s="19" t="str">
        <f t="shared" ca="1" si="343"/>
        <v>empty</v>
      </c>
      <c r="L342" s="19" t="str">
        <f t="shared" ca="1" si="343"/>
        <v>empty</v>
      </c>
      <c r="M342" s="19" t="str">
        <f t="shared" ca="1" si="343"/>
        <v>empty</v>
      </c>
    </row>
    <row r="343" spans="1:13" ht="15.5" x14ac:dyDescent="0.35">
      <c r="A343" s="17"/>
      <c r="B343" s="19"/>
      <c r="C343" s="19"/>
      <c r="D343" s="19"/>
      <c r="E343" s="19"/>
      <c r="F343" s="19"/>
      <c r="G343" s="13" t="s">
        <v>569</v>
      </c>
      <c r="H343" s="19" t="s">
        <v>569</v>
      </c>
      <c r="I343" s="19" t="str">
        <f t="shared" ca="1" si="257"/>
        <v>http://www.mohawkgroup.com</v>
      </c>
      <c r="J343" s="19" t="str">
        <f t="shared" ref="J343:M343" ca="1" si="344">IFERROR(__xludf.DUMMYFUNCTION("iferror(lower(regexreplace(substitute(trim(if(C343="""",""empty"",C343)),"" "",""_""),""[^A-Za-z0-9_]"","""")))"),"empty")</f>
        <v>empty</v>
      </c>
      <c r="K343" s="19" t="str">
        <f t="shared" ca="1" si="344"/>
        <v>empty</v>
      </c>
      <c r="L343" s="19" t="str">
        <f t="shared" ca="1" si="344"/>
        <v>empty</v>
      </c>
      <c r="M343" s="19" t="str">
        <f t="shared" ca="1" si="344"/>
        <v>empty</v>
      </c>
    </row>
    <row r="344" spans="1:13" ht="15.5" x14ac:dyDescent="0.35">
      <c r="A344" s="17"/>
      <c r="B344" s="19"/>
      <c r="C344" s="19"/>
      <c r="D344" s="19"/>
      <c r="E344" s="19"/>
      <c r="F344" s="19"/>
      <c r="G344" s="13" t="s">
        <v>569</v>
      </c>
      <c r="H344" s="19" t="s">
        <v>569</v>
      </c>
      <c r="I344" s="19" t="str">
        <f t="shared" ca="1" si="257"/>
        <v>http://www.mohawkgroup.com</v>
      </c>
      <c r="J344" s="19" t="str">
        <f t="shared" ref="J344:M344" ca="1" si="345">IFERROR(__xludf.DUMMYFUNCTION("iferror(lower(regexreplace(substitute(trim(if(C344="""",""empty"",C344)),"" "",""_""),""[^A-Za-z0-9_]"","""")))"),"empty")</f>
        <v>empty</v>
      </c>
      <c r="K344" s="19" t="str">
        <f t="shared" ca="1" si="345"/>
        <v>empty</v>
      </c>
      <c r="L344" s="19" t="str">
        <f t="shared" ca="1" si="345"/>
        <v>empty</v>
      </c>
      <c r="M344" s="19" t="str">
        <f t="shared" ca="1" si="345"/>
        <v>empty</v>
      </c>
    </row>
    <row r="345" spans="1:13" ht="15.5" x14ac:dyDescent="0.35">
      <c r="A345" s="17"/>
      <c r="B345" s="19"/>
      <c r="C345" s="19"/>
      <c r="D345" s="19"/>
      <c r="E345" s="19"/>
      <c r="F345" s="19"/>
      <c r="G345" s="13" t="s">
        <v>569</v>
      </c>
      <c r="H345" s="19" t="s">
        <v>569</v>
      </c>
      <c r="I345" s="19" t="str">
        <f t="shared" ca="1" si="257"/>
        <v>http://www.mohawkgroup.com</v>
      </c>
      <c r="J345" s="19" t="str">
        <f t="shared" ref="J345:M345" ca="1" si="346">IFERROR(__xludf.DUMMYFUNCTION("iferror(lower(regexreplace(substitute(trim(if(C345="""",""empty"",C345)),"" "",""_""),""[^A-Za-z0-9_]"","""")))"),"empty")</f>
        <v>empty</v>
      </c>
      <c r="K345" s="19" t="str">
        <f t="shared" ca="1" si="346"/>
        <v>empty</v>
      </c>
      <c r="L345" s="19" t="str">
        <f t="shared" ca="1" si="346"/>
        <v>empty</v>
      </c>
      <c r="M345" s="19" t="str">
        <f t="shared" ca="1" si="346"/>
        <v>empty</v>
      </c>
    </row>
    <row r="346" spans="1:13" ht="15.5" x14ac:dyDescent="0.35">
      <c r="A346" s="17"/>
      <c r="B346" s="19"/>
      <c r="C346" s="19"/>
      <c r="D346" s="19"/>
      <c r="E346" s="19"/>
      <c r="F346" s="19"/>
      <c r="G346" s="13" t="s">
        <v>569</v>
      </c>
      <c r="H346" s="19" t="s">
        <v>569</v>
      </c>
      <c r="I346" s="19" t="str">
        <f t="shared" ca="1" si="257"/>
        <v>http://www.mohawkgroup.com</v>
      </c>
      <c r="J346" s="19" t="str">
        <f t="shared" ref="J346:M346" ca="1" si="347">IFERROR(__xludf.DUMMYFUNCTION("iferror(lower(regexreplace(substitute(trim(if(C346="""",""empty"",C346)),"" "",""_""),""[^A-Za-z0-9_]"","""")))"),"empty")</f>
        <v>empty</v>
      </c>
      <c r="K346" s="19" t="str">
        <f t="shared" ca="1" si="347"/>
        <v>empty</v>
      </c>
      <c r="L346" s="19" t="str">
        <f t="shared" ca="1" si="347"/>
        <v>empty</v>
      </c>
      <c r="M346" s="19" t="str">
        <f t="shared" ca="1" si="347"/>
        <v>empty</v>
      </c>
    </row>
    <row r="347" spans="1:13" ht="15.5" x14ac:dyDescent="0.35">
      <c r="A347" s="17"/>
      <c r="B347" s="19"/>
      <c r="C347" s="19"/>
      <c r="D347" s="19"/>
      <c r="E347" s="19"/>
      <c r="F347" s="19"/>
      <c r="G347" s="13" t="s">
        <v>569</v>
      </c>
      <c r="H347" s="19" t="s">
        <v>569</v>
      </c>
      <c r="I347" s="19" t="str">
        <f t="shared" ca="1" si="257"/>
        <v>http://www.mohawkgroup.com</v>
      </c>
      <c r="J347" s="19" t="str">
        <f t="shared" ref="J347:M347" ca="1" si="348">IFERROR(__xludf.DUMMYFUNCTION("iferror(lower(regexreplace(substitute(trim(if(C347="""",""empty"",C347)),"" "",""_""),""[^A-Za-z0-9_]"","""")))"),"empty")</f>
        <v>empty</v>
      </c>
      <c r="K347" s="19" t="str">
        <f t="shared" ca="1" si="348"/>
        <v>empty</v>
      </c>
      <c r="L347" s="19" t="str">
        <f t="shared" ca="1" si="348"/>
        <v>empty</v>
      </c>
      <c r="M347" s="19" t="str">
        <f t="shared" ca="1" si="348"/>
        <v>empty</v>
      </c>
    </row>
    <row r="348" spans="1:13" ht="15.5" x14ac:dyDescent="0.35">
      <c r="A348" s="17"/>
      <c r="B348" s="19"/>
      <c r="C348" s="19"/>
      <c r="D348" s="19"/>
      <c r="E348" s="19"/>
      <c r="F348" s="19"/>
      <c r="G348" s="13" t="s">
        <v>569</v>
      </c>
      <c r="H348" s="19" t="s">
        <v>569</v>
      </c>
      <c r="I348" s="19" t="str">
        <f t="shared" ca="1" si="257"/>
        <v>http://www.mohawkgroup.com</v>
      </c>
      <c r="J348" s="19" t="str">
        <f t="shared" ref="J348:M348" ca="1" si="349">IFERROR(__xludf.DUMMYFUNCTION("iferror(lower(regexreplace(substitute(trim(if(C348="""",""empty"",C348)),"" "",""_""),""[^A-Za-z0-9_]"","""")))"),"empty")</f>
        <v>empty</v>
      </c>
      <c r="K348" s="19" t="str">
        <f t="shared" ca="1" si="349"/>
        <v>empty</v>
      </c>
      <c r="L348" s="19" t="str">
        <f t="shared" ca="1" si="349"/>
        <v>empty</v>
      </c>
      <c r="M348" s="19" t="str">
        <f t="shared" ca="1" si="349"/>
        <v>empty</v>
      </c>
    </row>
    <row r="349" spans="1:13" ht="15.5" x14ac:dyDescent="0.35">
      <c r="A349" s="17"/>
      <c r="B349" s="19"/>
      <c r="C349" s="19"/>
      <c r="D349" s="19"/>
      <c r="E349" s="19"/>
      <c r="F349" s="19"/>
      <c r="G349" s="13" t="s">
        <v>569</v>
      </c>
      <c r="H349" s="19" t="s">
        <v>569</v>
      </c>
      <c r="I349" s="19" t="str">
        <f t="shared" ca="1" si="257"/>
        <v>http://www.mohawkgroup.com</v>
      </c>
      <c r="J349" s="19" t="str">
        <f t="shared" ref="J349:M349" ca="1" si="350">IFERROR(__xludf.DUMMYFUNCTION("iferror(lower(regexreplace(substitute(trim(if(C349="""",""empty"",C349)),"" "",""_""),""[^A-Za-z0-9_]"","""")))"),"empty")</f>
        <v>empty</v>
      </c>
      <c r="K349" s="19" t="str">
        <f t="shared" ca="1" si="350"/>
        <v>empty</v>
      </c>
      <c r="L349" s="19" t="str">
        <f t="shared" ca="1" si="350"/>
        <v>empty</v>
      </c>
      <c r="M349" s="19" t="str">
        <f t="shared" ca="1" si="350"/>
        <v>empty</v>
      </c>
    </row>
    <row r="350" spans="1:13" ht="15.5" x14ac:dyDescent="0.35">
      <c r="A350" s="17"/>
      <c r="B350" s="19"/>
      <c r="C350" s="19"/>
      <c r="D350" s="19"/>
      <c r="E350" s="19"/>
      <c r="F350" s="19"/>
      <c r="G350" s="13" t="s">
        <v>569</v>
      </c>
      <c r="H350" s="19" t="s">
        <v>569</v>
      </c>
      <c r="I350" s="19" t="str">
        <f t="shared" ca="1" si="257"/>
        <v>http://www.mohawkgroup.com</v>
      </c>
      <c r="J350" s="19" t="str">
        <f t="shared" ref="J350:M350" ca="1" si="351">IFERROR(__xludf.DUMMYFUNCTION("iferror(lower(regexreplace(substitute(trim(if(C350="""",""empty"",C350)),"" "",""_""),""[^A-Za-z0-9_]"","""")))"),"empty")</f>
        <v>empty</v>
      </c>
      <c r="K350" s="19" t="str">
        <f t="shared" ca="1" si="351"/>
        <v>empty</v>
      </c>
      <c r="L350" s="19" t="str">
        <f t="shared" ca="1" si="351"/>
        <v>empty</v>
      </c>
      <c r="M350" s="19" t="str">
        <f t="shared" ca="1" si="351"/>
        <v>empty</v>
      </c>
    </row>
    <row r="351" spans="1:13" ht="15.75" customHeight="1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</row>
    <row r="352" spans="1:13" ht="15.75" customHeight="1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</row>
    <row r="353" spans="1:13" ht="15.75" customHeight="1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</row>
    <row r="354" spans="1:13" ht="15.75" customHeight="1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</row>
    <row r="355" spans="1:13" ht="15.75" customHeight="1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</row>
    <row r="356" spans="1:13" ht="15.75" customHeight="1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</row>
    <row r="357" spans="1:13" ht="15.75" customHeight="1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</row>
    <row r="358" spans="1:13" ht="15.75" customHeight="1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</row>
    <row r="359" spans="1:13" ht="15.75" customHeight="1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</row>
    <row r="360" spans="1:13" ht="15.75" customHeight="1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</row>
    <row r="361" spans="1:13" ht="15.75" customHeight="1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</row>
    <row r="362" spans="1:13" ht="15.75" customHeight="1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</row>
    <row r="363" spans="1:13" ht="15.75" customHeight="1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</row>
    <row r="364" spans="1:13" ht="15.75" customHeight="1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</row>
    <row r="365" spans="1:13" ht="15.75" customHeight="1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</row>
    <row r="366" spans="1:13" ht="15.75" customHeight="1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</row>
    <row r="367" spans="1:13" ht="15.75" customHeight="1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</row>
    <row r="368" spans="1:13" ht="15.75" customHeight="1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</row>
    <row r="369" spans="1:13" ht="15.75" customHeight="1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</row>
    <row r="370" spans="1:13" ht="15.75" customHeight="1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</row>
    <row r="371" spans="1:13" ht="15.75" customHeight="1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</row>
    <row r="372" spans="1:13" ht="15.75" customHeight="1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</row>
    <row r="373" spans="1:13" ht="15.75" customHeight="1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</row>
    <row r="374" spans="1:13" ht="15.75" customHeight="1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</row>
    <row r="375" spans="1:13" ht="15.75" customHeight="1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</row>
    <row r="376" spans="1:13" ht="15.75" customHeight="1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</row>
    <row r="377" spans="1:13" ht="15.75" customHeight="1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</row>
    <row r="378" spans="1:13" ht="15.75" customHeight="1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</row>
    <row r="379" spans="1:13" ht="15.75" customHeight="1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</row>
    <row r="380" spans="1:13" ht="15.75" customHeight="1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</row>
    <row r="381" spans="1:13" ht="15.75" customHeight="1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</row>
    <row r="382" spans="1:13" ht="15.75" customHeight="1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</row>
    <row r="383" spans="1:13" ht="15.75" customHeight="1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</row>
    <row r="384" spans="1:13" ht="15.75" customHeight="1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</row>
    <row r="385" spans="1:13" ht="15.75" customHeight="1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</row>
    <row r="386" spans="1:13" ht="15.75" customHeight="1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</row>
    <row r="387" spans="1:13" ht="15.75" customHeight="1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</row>
    <row r="388" spans="1:13" ht="15.75" customHeight="1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</row>
    <row r="389" spans="1:13" ht="15.75" customHeight="1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</row>
    <row r="390" spans="1:13" ht="15.75" customHeight="1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</row>
    <row r="391" spans="1:13" ht="15.75" customHeight="1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</row>
    <row r="392" spans="1:13" ht="15.75" customHeight="1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</row>
    <row r="393" spans="1:13" ht="15.75" customHeight="1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</row>
    <row r="394" spans="1:13" ht="15.75" customHeight="1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</row>
    <row r="395" spans="1:13" ht="15.75" customHeight="1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</row>
    <row r="396" spans="1:13" ht="15.75" customHeight="1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</row>
    <row r="397" spans="1:13" ht="15.75" customHeight="1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</row>
    <row r="398" spans="1:13" ht="15.75" customHeight="1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</row>
    <row r="399" spans="1:13" ht="15.75" customHeight="1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</row>
    <row r="400" spans="1:13" ht="15.75" customHeight="1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</row>
    <row r="401" spans="1:13" ht="15.75" customHeight="1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</row>
    <row r="402" spans="1:13" ht="15.75" customHeight="1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</row>
    <row r="403" spans="1:13" ht="15.75" customHeight="1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</row>
    <row r="404" spans="1:13" ht="15.75" customHeight="1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</row>
    <row r="405" spans="1:13" ht="15.75" customHeight="1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</row>
    <row r="406" spans="1:13" ht="15.75" customHeight="1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</row>
    <row r="407" spans="1:13" ht="15.75" customHeight="1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</row>
    <row r="408" spans="1:13" ht="15.75" customHeight="1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</row>
    <row r="409" spans="1:13" ht="15.75" customHeight="1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</row>
    <row r="410" spans="1:13" ht="15.75" customHeight="1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</row>
    <row r="411" spans="1:13" ht="15.75" customHeight="1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</row>
    <row r="412" spans="1:13" ht="15.75" customHeight="1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</row>
    <row r="413" spans="1:13" ht="15.75" customHeight="1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</row>
    <row r="414" spans="1:13" ht="15.75" customHeight="1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</row>
    <row r="415" spans="1:13" ht="15.75" customHeight="1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</row>
    <row r="416" spans="1:13" ht="15.75" customHeight="1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</row>
    <row r="417" spans="1:13" ht="15.75" customHeight="1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</row>
    <row r="418" spans="1:13" ht="15.75" customHeight="1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</row>
    <row r="419" spans="1:13" ht="15.75" customHeight="1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</row>
    <row r="420" spans="1:13" ht="15.75" customHeight="1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</row>
    <row r="421" spans="1:13" ht="15.75" customHeight="1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</row>
    <row r="422" spans="1:13" ht="15.75" customHeight="1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</row>
    <row r="423" spans="1:13" ht="15.75" customHeight="1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</row>
    <row r="424" spans="1:13" ht="15.75" customHeight="1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</row>
    <row r="425" spans="1:13" ht="15.75" customHeight="1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</row>
    <row r="426" spans="1:13" ht="15.75" customHeight="1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</row>
    <row r="427" spans="1:13" ht="15.75" customHeight="1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</row>
    <row r="428" spans="1:13" ht="15.75" customHeight="1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</row>
    <row r="429" spans="1:13" ht="15.75" customHeight="1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</row>
    <row r="430" spans="1:13" ht="15.75" customHeight="1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</row>
    <row r="431" spans="1:13" ht="15.75" customHeight="1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</row>
    <row r="432" spans="1:13" ht="15.75" customHeight="1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</row>
    <row r="433" spans="1:13" ht="15.75" customHeight="1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</row>
    <row r="434" spans="1:13" ht="15.75" customHeight="1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</row>
    <row r="435" spans="1:13" ht="15.75" customHeight="1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</row>
    <row r="436" spans="1:13" ht="15.75" customHeight="1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</row>
    <row r="437" spans="1:13" ht="15.75" customHeight="1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</row>
    <row r="438" spans="1:13" ht="15.75" customHeight="1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</row>
    <row r="439" spans="1:13" ht="15.75" customHeight="1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</row>
    <row r="440" spans="1:13" ht="15.75" customHeight="1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</row>
    <row r="441" spans="1:13" ht="15.75" customHeight="1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</row>
    <row r="442" spans="1:13" ht="15.75" customHeight="1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</row>
    <row r="443" spans="1:13" ht="15.75" customHeight="1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</row>
    <row r="444" spans="1:13" ht="15.75" customHeight="1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</row>
    <row r="445" spans="1:13" ht="15.75" customHeight="1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</row>
    <row r="446" spans="1:13" ht="15.75" customHeight="1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</row>
    <row r="447" spans="1:13" ht="15.75" customHeight="1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</row>
    <row r="448" spans="1:13" ht="15.75" customHeight="1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</row>
    <row r="449" spans="1:13" ht="15.75" customHeight="1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</row>
    <row r="450" spans="1:13" ht="15.75" customHeight="1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</row>
    <row r="451" spans="1:13" ht="15.75" customHeight="1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</row>
    <row r="452" spans="1:13" ht="15.75" customHeight="1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</row>
    <row r="453" spans="1:13" ht="15.75" customHeight="1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</row>
    <row r="454" spans="1:13" ht="15.75" customHeight="1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</row>
    <row r="455" spans="1:13" ht="15.75" customHeight="1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</row>
    <row r="456" spans="1:13" ht="15.75" customHeight="1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</row>
    <row r="457" spans="1:13" ht="15.75" customHeight="1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</row>
    <row r="458" spans="1:13" ht="15.75" customHeight="1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</row>
    <row r="459" spans="1:13" ht="15.75" customHeight="1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</row>
    <row r="460" spans="1:13" ht="15.75" customHeight="1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</row>
    <row r="461" spans="1:13" ht="15.75" customHeight="1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</row>
    <row r="462" spans="1:13" ht="15.75" customHeight="1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</row>
    <row r="463" spans="1:13" ht="15.75" customHeight="1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</row>
    <row r="464" spans="1:13" ht="15.75" customHeight="1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</row>
    <row r="465" spans="1:13" ht="15.75" customHeight="1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</row>
    <row r="466" spans="1:13" ht="15.75" customHeight="1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</row>
    <row r="467" spans="1:13" ht="15.75" customHeight="1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</row>
    <row r="468" spans="1:13" ht="15.75" customHeight="1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</row>
    <row r="469" spans="1:13" ht="15.75" customHeight="1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</row>
    <row r="470" spans="1:13" ht="15.75" customHeight="1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</row>
    <row r="471" spans="1:13" ht="15.75" customHeight="1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</row>
    <row r="472" spans="1:13" ht="15.75" customHeight="1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</row>
    <row r="473" spans="1:13" ht="15.75" customHeight="1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</row>
    <row r="474" spans="1:13" ht="15.75" customHeight="1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</row>
    <row r="475" spans="1:13" ht="15.75" customHeight="1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</row>
    <row r="476" spans="1:13" ht="15.75" customHeight="1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</row>
    <row r="477" spans="1:13" ht="15.75" customHeight="1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</row>
    <row r="478" spans="1:13" ht="15.75" customHeight="1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</row>
    <row r="479" spans="1:13" ht="15.75" customHeight="1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</row>
    <row r="480" spans="1:13" ht="15.75" customHeight="1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</row>
    <row r="481" spans="1:13" ht="15.75" customHeight="1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</row>
    <row r="482" spans="1:13" ht="15.75" customHeight="1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</row>
    <row r="483" spans="1:13" ht="15.75" customHeight="1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</row>
    <row r="484" spans="1:13" ht="15.75" customHeight="1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</row>
    <row r="485" spans="1:13" ht="15.75" customHeight="1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</row>
    <row r="486" spans="1:13" ht="15.75" customHeight="1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</row>
    <row r="487" spans="1:13" ht="15.75" customHeight="1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</row>
    <row r="488" spans="1:13" ht="15.75" customHeight="1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</row>
    <row r="489" spans="1:13" ht="15.75" customHeight="1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</row>
    <row r="490" spans="1:13" ht="15.75" customHeight="1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</row>
    <row r="491" spans="1:13" ht="15.75" customHeight="1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</row>
    <row r="492" spans="1:13" ht="15.75" customHeight="1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</row>
    <row r="493" spans="1:13" ht="15.75" customHeight="1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</row>
    <row r="494" spans="1:13" ht="15.75" customHeight="1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</row>
    <row r="495" spans="1:13" ht="15.75" customHeight="1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</row>
    <row r="496" spans="1:13" ht="15.75" customHeight="1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</row>
    <row r="497" spans="1:13" ht="15.75" customHeight="1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</row>
    <row r="498" spans="1:13" ht="15.75" customHeight="1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</row>
    <row r="499" spans="1:13" ht="15.75" customHeight="1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</row>
    <row r="500" spans="1:13" ht="15.75" customHeight="1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</row>
    <row r="501" spans="1:13" ht="15.75" customHeight="1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</row>
    <row r="502" spans="1:13" ht="15.75" customHeight="1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</row>
    <row r="503" spans="1:13" ht="15.75" customHeight="1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</row>
    <row r="504" spans="1:13" ht="15.75" customHeight="1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</row>
    <row r="505" spans="1:13" ht="15.75" customHeight="1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</row>
    <row r="506" spans="1:13" ht="15.75" customHeight="1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</row>
    <row r="507" spans="1:13" ht="15.75" customHeight="1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</row>
    <row r="508" spans="1:13" ht="15.75" customHeight="1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</row>
    <row r="509" spans="1:13" ht="15.75" customHeight="1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</row>
    <row r="510" spans="1:13" ht="15.75" customHeight="1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</row>
    <row r="511" spans="1:13" ht="15.75" customHeight="1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</row>
    <row r="512" spans="1:13" ht="15.75" customHeight="1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</row>
    <row r="513" spans="1:13" ht="15.75" customHeight="1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</row>
    <row r="514" spans="1:13" ht="15.75" customHeight="1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</row>
    <row r="515" spans="1:13" ht="15.75" customHeight="1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</row>
    <row r="516" spans="1:13" ht="15.75" customHeight="1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</row>
    <row r="517" spans="1:13" ht="15.75" customHeight="1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</row>
    <row r="518" spans="1:13" ht="15.75" customHeight="1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</row>
    <row r="519" spans="1:13" ht="15.75" customHeight="1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</row>
    <row r="520" spans="1:13" ht="15.75" customHeight="1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</row>
    <row r="521" spans="1:13" ht="15.75" customHeight="1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</row>
    <row r="522" spans="1:13" ht="15.75" customHeight="1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</row>
    <row r="523" spans="1:13" ht="15.75" customHeight="1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</row>
    <row r="524" spans="1:13" ht="15.75" customHeight="1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</row>
    <row r="525" spans="1:13" ht="15.75" customHeight="1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</row>
    <row r="526" spans="1:13" ht="15.75" customHeight="1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</row>
    <row r="527" spans="1:13" ht="15.75" customHeight="1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</row>
    <row r="528" spans="1:13" ht="15.75" customHeight="1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</row>
    <row r="529" spans="1:13" ht="15.75" customHeight="1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</row>
    <row r="530" spans="1:13" ht="15.75" customHeight="1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</row>
    <row r="531" spans="1:13" ht="15.75" customHeight="1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</row>
    <row r="532" spans="1:13" ht="15.75" customHeight="1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</row>
    <row r="533" spans="1:13" ht="15.75" customHeight="1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</row>
    <row r="534" spans="1:13" ht="15.75" customHeight="1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</row>
    <row r="535" spans="1:13" ht="15.75" customHeight="1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</row>
    <row r="536" spans="1:13" ht="15.75" customHeight="1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</row>
    <row r="537" spans="1:13" ht="15.75" customHeight="1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</row>
    <row r="538" spans="1:13" ht="15.75" customHeight="1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</row>
    <row r="539" spans="1:13" ht="15.75" customHeight="1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</row>
    <row r="540" spans="1:13" ht="15.75" customHeight="1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</row>
    <row r="541" spans="1:13" ht="15.75" customHeight="1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</row>
    <row r="542" spans="1:13" ht="15.75" customHeight="1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</row>
    <row r="543" spans="1:13" ht="15.75" customHeight="1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</row>
    <row r="544" spans="1:13" ht="15.75" customHeight="1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</row>
    <row r="545" spans="1:13" ht="15.75" customHeight="1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</row>
    <row r="546" spans="1:13" ht="15.75" customHeight="1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</row>
    <row r="547" spans="1:13" ht="15.75" customHeight="1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</row>
    <row r="548" spans="1:13" ht="15.75" customHeight="1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</row>
    <row r="549" spans="1:13" ht="15.75" customHeight="1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</row>
    <row r="550" spans="1:13" ht="15.75" customHeight="1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</row>
    <row r="551" spans="1:13" ht="15.75" customHeight="1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</row>
    <row r="552" spans="1:13" ht="15.75" customHeight="1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</row>
    <row r="553" spans="1:13" ht="15.75" customHeight="1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</row>
    <row r="554" spans="1:13" ht="15.75" customHeight="1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</row>
    <row r="555" spans="1:13" ht="15.75" customHeight="1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</row>
    <row r="556" spans="1:13" ht="15.75" customHeight="1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</row>
    <row r="557" spans="1:13" ht="15.75" customHeight="1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</row>
    <row r="558" spans="1:13" ht="15.75" customHeight="1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</row>
    <row r="559" spans="1:13" ht="15.75" customHeight="1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</row>
    <row r="560" spans="1:13" ht="15.75" customHeight="1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</row>
    <row r="561" spans="1:13" ht="15.75" customHeight="1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</row>
    <row r="562" spans="1:13" ht="15.75" customHeight="1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</row>
    <row r="563" spans="1:13" ht="15.75" customHeight="1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</row>
    <row r="564" spans="1:13" ht="15.75" customHeight="1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</row>
    <row r="565" spans="1:13" ht="15.75" customHeight="1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</row>
    <row r="566" spans="1:13" ht="15.75" customHeight="1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</row>
    <row r="567" spans="1:13" ht="15.75" customHeight="1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</row>
    <row r="568" spans="1:13" ht="15.75" customHeight="1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</row>
    <row r="569" spans="1:13" ht="15.75" customHeight="1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</row>
    <row r="570" spans="1:13" ht="15.75" customHeight="1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</row>
    <row r="571" spans="1:13" ht="15.75" customHeight="1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</row>
    <row r="572" spans="1:13" ht="15.75" customHeight="1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</row>
    <row r="573" spans="1:13" ht="15.75" customHeight="1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</row>
    <row r="574" spans="1:13" ht="15.75" customHeight="1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</row>
    <row r="575" spans="1:13" ht="15.75" customHeight="1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</row>
    <row r="576" spans="1:13" ht="15.75" customHeight="1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</row>
    <row r="577" spans="1:13" ht="15.75" customHeight="1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</row>
    <row r="578" spans="1:13" ht="15.75" customHeight="1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</row>
    <row r="579" spans="1:13" ht="15.75" customHeight="1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</row>
    <row r="580" spans="1:13" ht="15.75" customHeight="1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</row>
    <row r="581" spans="1:13" ht="15.75" customHeight="1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</row>
    <row r="582" spans="1:13" ht="15.75" customHeight="1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</row>
    <row r="583" spans="1:13" ht="15.75" customHeight="1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</row>
    <row r="584" spans="1:13" ht="15.75" customHeight="1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</row>
    <row r="585" spans="1:13" ht="15.75" customHeight="1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</row>
    <row r="586" spans="1:13" ht="15.75" customHeight="1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</row>
    <row r="587" spans="1:13" ht="15.75" customHeight="1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</row>
    <row r="588" spans="1:13" ht="15.75" customHeight="1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</row>
    <row r="589" spans="1:13" ht="15.75" customHeight="1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</row>
    <row r="590" spans="1:13" ht="15.75" customHeight="1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</row>
    <row r="591" spans="1:13" ht="15.75" customHeight="1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</row>
    <row r="592" spans="1:13" ht="15.75" customHeight="1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</row>
    <row r="593" spans="1:13" ht="15.75" customHeight="1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</row>
    <row r="594" spans="1:13" ht="15.75" customHeight="1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</row>
    <row r="595" spans="1:13" ht="15.75" customHeight="1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</row>
    <row r="596" spans="1:13" ht="15.75" customHeight="1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</row>
    <row r="597" spans="1:13" ht="15.75" customHeight="1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</row>
    <row r="598" spans="1:13" ht="15.75" customHeight="1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</row>
    <row r="599" spans="1:13" ht="15.75" customHeight="1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</row>
    <row r="600" spans="1:13" ht="15.75" customHeight="1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</row>
    <row r="601" spans="1:13" ht="15.75" customHeight="1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</row>
    <row r="602" spans="1:13" ht="15.75" customHeight="1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</row>
    <row r="603" spans="1:13" ht="15.75" customHeight="1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</row>
    <row r="604" spans="1:13" ht="15.75" customHeight="1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</row>
    <row r="605" spans="1:13" ht="15.75" customHeight="1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</row>
    <row r="606" spans="1:13" ht="15.75" customHeight="1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</row>
    <row r="607" spans="1:13" ht="15.75" customHeight="1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</row>
    <row r="608" spans="1:13" ht="15.75" customHeight="1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</row>
    <row r="609" spans="1:13" ht="15.75" customHeight="1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</row>
    <row r="610" spans="1:13" ht="15.75" customHeight="1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</row>
    <row r="611" spans="1:13" ht="15.75" customHeight="1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</row>
    <row r="612" spans="1:13" ht="15.75" customHeight="1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</row>
    <row r="613" spans="1:13" ht="15.75" customHeight="1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</row>
    <row r="614" spans="1:13" ht="15.75" customHeight="1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</row>
    <row r="615" spans="1:13" ht="15.75" customHeight="1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</row>
    <row r="616" spans="1:13" ht="15.75" customHeight="1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</row>
    <row r="617" spans="1:13" ht="15.75" customHeight="1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</row>
    <row r="618" spans="1:13" ht="15.75" customHeight="1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</row>
    <row r="619" spans="1:13" ht="15.75" customHeight="1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</row>
    <row r="620" spans="1:13" ht="15.75" customHeight="1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</row>
    <row r="621" spans="1:13" ht="15.75" customHeight="1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</row>
    <row r="622" spans="1:13" ht="15.75" customHeight="1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</row>
    <row r="623" spans="1:13" ht="15.75" customHeight="1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</row>
    <row r="624" spans="1:13" ht="15.75" customHeight="1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</row>
    <row r="625" spans="1:13" ht="15.75" customHeight="1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</row>
    <row r="626" spans="1:13" ht="15.75" customHeight="1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</row>
    <row r="627" spans="1:13" ht="15.75" customHeight="1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</row>
    <row r="628" spans="1:13" ht="15.75" customHeight="1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</row>
    <row r="629" spans="1:13" ht="15.75" customHeight="1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</row>
    <row r="630" spans="1:13" ht="15.75" customHeight="1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</row>
    <row r="631" spans="1:13" ht="15.75" customHeight="1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</row>
    <row r="632" spans="1:13" ht="15.75" customHeight="1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</row>
    <row r="633" spans="1:13" ht="15.75" customHeight="1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</row>
    <row r="634" spans="1:13" ht="15.75" customHeight="1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</row>
    <row r="635" spans="1:13" ht="15.75" customHeight="1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</row>
    <row r="636" spans="1:13" ht="15.75" customHeight="1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</row>
    <row r="637" spans="1:13" ht="15.75" customHeight="1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</row>
    <row r="638" spans="1:13" ht="15.75" customHeight="1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</row>
    <row r="639" spans="1:13" ht="15.75" customHeight="1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</row>
    <row r="640" spans="1:13" ht="15.75" customHeight="1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</row>
    <row r="641" spans="1:13" ht="15.75" customHeight="1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</row>
    <row r="642" spans="1:13" ht="15.75" customHeight="1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</row>
    <row r="643" spans="1:13" ht="15.75" customHeight="1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</row>
    <row r="644" spans="1:13" ht="15.75" customHeight="1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</row>
    <row r="645" spans="1:13" ht="15.75" customHeight="1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</row>
    <row r="646" spans="1:13" ht="15.75" customHeight="1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</row>
    <row r="647" spans="1:13" ht="15.75" customHeight="1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</row>
    <row r="648" spans="1:13" ht="15.75" customHeight="1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</row>
    <row r="649" spans="1:13" ht="15.75" customHeight="1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</row>
    <row r="650" spans="1:13" ht="15.75" customHeight="1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</row>
    <row r="651" spans="1:13" ht="15.75" customHeight="1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</row>
    <row r="652" spans="1:13" ht="15.75" customHeight="1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</row>
    <row r="653" spans="1:13" ht="15.75" customHeight="1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</row>
    <row r="654" spans="1:13" ht="15.75" customHeight="1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</row>
    <row r="655" spans="1:13" ht="15.75" customHeight="1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</row>
    <row r="656" spans="1:13" ht="15.75" customHeight="1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</row>
    <row r="657" spans="1:13" ht="15.75" customHeight="1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</row>
    <row r="658" spans="1:13" ht="15.75" customHeight="1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</row>
    <row r="659" spans="1:13" ht="15.75" customHeight="1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</row>
    <row r="660" spans="1:13" ht="15.75" customHeight="1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</row>
    <row r="661" spans="1:13" ht="15.75" customHeight="1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</row>
    <row r="662" spans="1:13" ht="15.75" customHeight="1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</row>
    <row r="663" spans="1:13" ht="15.75" customHeight="1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</row>
    <row r="664" spans="1:13" ht="15.75" customHeight="1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</row>
    <row r="665" spans="1:13" ht="15.75" customHeight="1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</row>
    <row r="666" spans="1:13" ht="15.75" customHeight="1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</row>
    <row r="667" spans="1:13" ht="15.75" customHeight="1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</row>
    <row r="668" spans="1:13" ht="15.75" customHeight="1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</row>
    <row r="669" spans="1:13" ht="15.75" customHeight="1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</row>
    <row r="670" spans="1:13" ht="15.75" customHeight="1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</row>
    <row r="671" spans="1:13" ht="15.75" customHeight="1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</row>
    <row r="672" spans="1:13" ht="15.75" customHeight="1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</row>
    <row r="673" spans="1:13" ht="15.75" customHeight="1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</row>
    <row r="674" spans="1:13" ht="15.75" customHeight="1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</row>
    <row r="675" spans="1:13" ht="15.75" customHeight="1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</row>
    <row r="676" spans="1:13" ht="15.75" customHeight="1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</row>
    <row r="677" spans="1:13" ht="15.75" customHeight="1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</row>
    <row r="678" spans="1:13" ht="15.75" customHeight="1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</row>
    <row r="679" spans="1:13" ht="15.75" customHeight="1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</row>
    <row r="680" spans="1:13" ht="15.75" customHeight="1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</row>
    <row r="681" spans="1:13" ht="15.75" customHeight="1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</row>
    <row r="682" spans="1:13" ht="15.75" customHeight="1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</row>
    <row r="683" spans="1:13" ht="15.75" customHeight="1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</row>
    <row r="684" spans="1:13" ht="15.75" customHeight="1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</row>
    <row r="685" spans="1:13" ht="15.75" customHeight="1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</row>
    <row r="686" spans="1:13" ht="15.75" customHeight="1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</row>
    <row r="687" spans="1:13" ht="15.75" customHeight="1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</row>
    <row r="688" spans="1:13" ht="15.75" customHeight="1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</row>
    <row r="689" spans="1:13" ht="15.75" customHeight="1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</row>
    <row r="690" spans="1:13" ht="15.75" customHeight="1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</row>
    <row r="691" spans="1:13" ht="15.75" customHeight="1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</row>
    <row r="692" spans="1:13" ht="15.75" customHeight="1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</row>
    <row r="693" spans="1:13" ht="15.75" customHeight="1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</row>
    <row r="694" spans="1:13" ht="15.75" customHeight="1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</row>
    <row r="695" spans="1:13" ht="15.75" customHeight="1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</row>
    <row r="696" spans="1:13" ht="15.75" customHeight="1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</row>
    <row r="697" spans="1:13" ht="15.75" customHeight="1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</row>
    <row r="698" spans="1:13" ht="15.75" customHeight="1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</row>
    <row r="699" spans="1:13" ht="15.75" customHeight="1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</row>
    <row r="700" spans="1:13" ht="15.75" customHeight="1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</row>
    <row r="701" spans="1:13" ht="15.75" customHeight="1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</row>
    <row r="702" spans="1:13" ht="15.75" customHeight="1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</row>
    <row r="703" spans="1:13" ht="15.75" customHeight="1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</row>
    <row r="704" spans="1:13" ht="15.75" customHeight="1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</row>
    <row r="705" spans="1:13" ht="15.75" customHeight="1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</row>
    <row r="706" spans="1:13" ht="15.75" customHeight="1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</row>
    <row r="707" spans="1:13" ht="15.75" customHeight="1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</row>
    <row r="708" spans="1:13" ht="15.75" customHeight="1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</row>
    <row r="709" spans="1:13" ht="15.75" customHeight="1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</row>
    <row r="710" spans="1:13" ht="15.75" customHeight="1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</row>
    <row r="711" spans="1:13" ht="15.75" customHeight="1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</row>
    <row r="712" spans="1:13" ht="15.75" customHeight="1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</row>
    <row r="713" spans="1:13" ht="15.75" customHeight="1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</row>
    <row r="714" spans="1:13" ht="15.75" customHeight="1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</row>
    <row r="715" spans="1:13" ht="15.75" customHeight="1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</row>
    <row r="716" spans="1:13" ht="15.75" customHeight="1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</row>
    <row r="717" spans="1:13" ht="15.75" customHeight="1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</row>
    <row r="718" spans="1:13" ht="15.75" customHeight="1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</row>
    <row r="719" spans="1:13" ht="15.75" customHeight="1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</row>
    <row r="720" spans="1:13" ht="15.75" customHeight="1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</row>
    <row r="721" spans="1:13" ht="15.75" customHeight="1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</row>
    <row r="722" spans="1:13" ht="15.75" customHeight="1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</row>
    <row r="723" spans="1:13" ht="15.75" customHeight="1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</row>
    <row r="724" spans="1:13" ht="15.75" customHeight="1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</row>
    <row r="725" spans="1:13" ht="15.75" customHeight="1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</row>
    <row r="726" spans="1:13" ht="15.75" customHeight="1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</row>
    <row r="727" spans="1:13" ht="15.75" customHeight="1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</row>
    <row r="728" spans="1:13" ht="15.75" customHeight="1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</row>
    <row r="729" spans="1:13" ht="15.75" customHeight="1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</row>
    <row r="730" spans="1:13" ht="15.75" customHeight="1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</row>
    <row r="731" spans="1:13" ht="15.75" customHeight="1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</row>
    <row r="732" spans="1:13" ht="15.75" customHeight="1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</row>
    <row r="733" spans="1:13" ht="15.75" customHeight="1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</row>
    <row r="734" spans="1:13" ht="15.75" customHeight="1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</row>
    <row r="735" spans="1:13" ht="15.75" customHeight="1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</row>
    <row r="736" spans="1:13" ht="15.75" customHeight="1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</row>
    <row r="737" spans="1:13" ht="15.75" customHeight="1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</row>
    <row r="738" spans="1:13" ht="15.75" customHeight="1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</row>
    <row r="739" spans="1:13" ht="15.75" customHeight="1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</row>
    <row r="740" spans="1:13" ht="15.75" customHeight="1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</row>
    <row r="741" spans="1:13" ht="15.75" customHeight="1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</row>
    <row r="742" spans="1:13" ht="15.75" customHeight="1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</row>
    <row r="743" spans="1:13" ht="15.75" customHeight="1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</row>
    <row r="744" spans="1:13" ht="15.75" customHeight="1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</row>
    <row r="745" spans="1:13" ht="15.75" customHeight="1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</row>
    <row r="746" spans="1:13" ht="15.75" customHeight="1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</row>
    <row r="747" spans="1:13" ht="15.75" customHeight="1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</row>
    <row r="748" spans="1:13" ht="15.75" customHeight="1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</row>
    <row r="749" spans="1:13" ht="15.75" customHeight="1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</row>
    <row r="750" spans="1:13" ht="15.75" customHeight="1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</row>
    <row r="751" spans="1:13" ht="15.75" customHeight="1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</row>
    <row r="752" spans="1:13" ht="15.75" customHeight="1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</row>
    <row r="753" spans="1:13" ht="15.75" customHeight="1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</row>
    <row r="754" spans="1:13" ht="15.75" customHeight="1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</row>
    <row r="755" spans="1:13" ht="15.75" customHeight="1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</row>
    <row r="756" spans="1:13" ht="15.75" customHeight="1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</row>
    <row r="757" spans="1:13" ht="15.75" customHeight="1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</row>
    <row r="758" spans="1:13" ht="15.75" customHeight="1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</row>
    <row r="759" spans="1:13" ht="15.75" customHeight="1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</row>
    <row r="760" spans="1:13" ht="15.75" customHeight="1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</row>
    <row r="761" spans="1:13" ht="15.75" customHeight="1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</row>
    <row r="762" spans="1:13" ht="15.75" customHeight="1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</row>
    <row r="763" spans="1:13" ht="15.75" customHeight="1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</row>
    <row r="764" spans="1:13" ht="15.75" customHeight="1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</row>
    <row r="765" spans="1:13" ht="15.75" customHeight="1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</row>
    <row r="766" spans="1:13" ht="15.75" customHeight="1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</row>
    <row r="767" spans="1:13" ht="15.75" customHeight="1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</row>
    <row r="768" spans="1:13" ht="15.75" customHeight="1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</row>
    <row r="769" spans="1:13" ht="15.75" customHeight="1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</row>
    <row r="770" spans="1:13" ht="15.75" customHeight="1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</row>
    <row r="771" spans="1:13" ht="15.75" customHeight="1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</row>
    <row r="772" spans="1:13" ht="15.75" customHeight="1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</row>
    <row r="773" spans="1:13" ht="15.75" customHeight="1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</row>
    <row r="774" spans="1:13" ht="15.75" customHeight="1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</row>
    <row r="775" spans="1:13" ht="15.75" customHeight="1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</row>
    <row r="776" spans="1:13" ht="15.75" customHeight="1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</row>
    <row r="777" spans="1:13" ht="15.75" customHeight="1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</row>
    <row r="778" spans="1:13" ht="15.75" customHeight="1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</row>
    <row r="779" spans="1:13" ht="15.75" customHeight="1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</row>
    <row r="780" spans="1:13" ht="15.75" customHeight="1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</row>
    <row r="781" spans="1:13" ht="15.75" customHeight="1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</row>
    <row r="782" spans="1:13" ht="15.75" customHeight="1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</row>
    <row r="783" spans="1:13" ht="15.75" customHeight="1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</row>
    <row r="784" spans="1:13" ht="15.75" customHeight="1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</row>
    <row r="785" spans="1:13" ht="15.75" customHeight="1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</row>
    <row r="786" spans="1:13" ht="15.75" customHeight="1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</row>
    <row r="787" spans="1:13" ht="15.75" customHeight="1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</row>
    <row r="788" spans="1:13" ht="15.75" customHeight="1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</row>
    <row r="789" spans="1:13" ht="15.75" customHeight="1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</row>
    <row r="790" spans="1:13" ht="15.75" customHeight="1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</row>
    <row r="791" spans="1:13" ht="15.75" customHeight="1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</row>
    <row r="792" spans="1:13" ht="15.75" customHeight="1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</row>
    <row r="793" spans="1:13" ht="15.75" customHeight="1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</row>
    <row r="794" spans="1:13" ht="15.75" customHeight="1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</row>
    <row r="795" spans="1:13" ht="15.75" customHeight="1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</row>
    <row r="796" spans="1:13" ht="15.75" customHeight="1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</row>
    <row r="797" spans="1:13" ht="15.75" customHeight="1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</row>
    <row r="798" spans="1:13" ht="15.75" customHeight="1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</row>
    <row r="799" spans="1:13" ht="15.75" customHeight="1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</row>
    <row r="800" spans="1:13" ht="15.75" customHeight="1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</row>
    <row r="801" spans="1:13" ht="15.75" customHeight="1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</row>
    <row r="802" spans="1:13" ht="15.75" customHeight="1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</row>
    <row r="803" spans="1:13" ht="15.75" customHeight="1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</row>
    <row r="804" spans="1:13" ht="15.75" customHeight="1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</row>
    <row r="805" spans="1:13" ht="15.75" customHeight="1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</row>
    <row r="806" spans="1:13" ht="15.75" customHeight="1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</row>
    <row r="807" spans="1:13" ht="15.75" customHeight="1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</row>
    <row r="808" spans="1:13" ht="15.75" customHeight="1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</row>
    <row r="809" spans="1:13" ht="15.75" customHeight="1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</row>
    <row r="810" spans="1:13" ht="15.75" customHeight="1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</row>
    <row r="811" spans="1:13" ht="15.75" customHeight="1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</row>
    <row r="812" spans="1:13" ht="15.75" customHeight="1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</row>
    <row r="813" spans="1:13" ht="15.75" customHeight="1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</row>
    <row r="814" spans="1:13" ht="15.75" customHeight="1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</row>
    <row r="815" spans="1:13" ht="15.75" customHeight="1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</row>
    <row r="816" spans="1:13" ht="15.75" customHeight="1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</row>
    <row r="817" spans="1:13" ht="15.75" customHeight="1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</row>
    <row r="818" spans="1:13" ht="15.75" customHeight="1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</row>
    <row r="819" spans="1:13" ht="15.75" customHeight="1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</row>
    <row r="820" spans="1:13" ht="15.75" customHeight="1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</row>
    <row r="821" spans="1:13" ht="15.75" customHeight="1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</row>
    <row r="822" spans="1:13" ht="15.75" customHeight="1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</row>
    <row r="823" spans="1:13" ht="15.75" customHeight="1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</row>
    <row r="824" spans="1:13" ht="15.75" customHeight="1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</row>
    <row r="825" spans="1:13" ht="15.75" customHeight="1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</row>
    <row r="826" spans="1:13" ht="15.75" customHeight="1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</row>
    <row r="827" spans="1:13" ht="15.75" customHeight="1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</row>
    <row r="828" spans="1:13" ht="15.75" customHeight="1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</row>
    <row r="829" spans="1:13" ht="15.75" customHeight="1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</row>
    <row r="830" spans="1:13" ht="15.75" customHeight="1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</row>
    <row r="831" spans="1:13" ht="15.75" customHeight="1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</row>
    <row r="832" spans="1:13" ht="15.75" customHeight="1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</row>
    <row r="833" spans="1:13" ht="15.75" customHeight="1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</row>
    <row r="834" spans="1:13" ht="15.75" customHeight="1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</row>
    <row r="835" spans="1:13" ht="15.75" customHeight="1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</row>
    <row r="836" spans="1:13" ht="15.75" customHeight="1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</row>
    <row r="837" spans="1:13" ht="15.75" customHeight="1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</row>
    <row r="838" spans="1:13" ht="15.75" customHeight="1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</row>
    <row r="839" spans="1:13" ht="15.75" customHeight="1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</row>
    <row r="840" spans="1:13" ht="15.75" customHeight="1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</row>
    <row r="841" spans="1:13" ht="15.75" customHeight="1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</row>
    <row r="842" spans="1:13" ht="15.75" customHeight="1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</row>
    <row r="843" spans="1:13" ht="15.75" customHeight="1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</row>
    <row r="844" spans="1:13" ht="15.75" customHeight="1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</row>
    <row r="845" spans="1:13" ht="15.75" customHeight="1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</row>
    <row r="846" spans="1:13" ht="15.75" customHeight="1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</row>
    <row r="847" spans="1:13" ht="15.75" customHeight="1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</row>
    <row r="848" spans="1:13" ht="15.75" customHeight="1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</row>
    <row r="849" spans="1:13" ht="15.75" customHeight="1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</row>
    <row r="850" spans="1:13" ht="15.75" customHeight="1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</row>
    <row r="851" spans="1:13" ht="15.75" customHeight="1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</row>
    <row r="852" spans="1:13" ht="15.75" customHeight="1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</row>
    <row r="853" spans="1:13" ht="15.75" customHeight="1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</row>
    <row r="854" spans="1:13" ht="15.75" customHeight="1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</row>
    <row r="855" spans="1:13" ht="15.75" customHeight="1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</row>
    <row r="856" spans="1:13" ht="15.75" customHeight="1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</row>
    <row r="857" spans="1:13" ht="15.75" customHeight="1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</row>
    <row r="858" spans="1:13" ht="15.75" customHeight="1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</row>
    <row r="859" spans="1:13" ht="15.75" customHeight="1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</row>
    <row r="860" spans="1:13" ht="15.75" customHeight="1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</row>
    <row r="861" spans="1:13" ht="15.75" customHeight="1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</row>
    <row r="862" spans="1:13" ht="15.75" customHeight="1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</row>
    <row r="863" spans="1:13" ht="15.75" customHeight="1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</row>
    <row r="864" spans="1:13" ht="15.75" customHeight="1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</row>
    <row r="865" spans="1:13" ht="15.75" customHeight="1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</row>
    <row r="866" spans="1:13" ht="15.75" customHeight="1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</row>
    <row r="867" spans="1:13" ht="15.75" customHeight="1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</row>
    <row r="868" spans="1:13" ht="15.75" customHeight="1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</row>
    <row r="869" spans="1:13" ht="15.75" customHeight="1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</row>
    <row r="870" spans="1:13" ht="15.75" customHeight="1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</row>
    <row r="871" spans="1:13" ht="15.75" customHeight="1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</row>
    <row r="872" spans="1:13" ht="15.75" customHeight="1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</row>
    <row r="873" spans="1:13" ht="15.75" customHeight="1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</row>
    <row r="874" spans="1:13" ht="15.75" customHeight="1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</row>
    <row r="875" spans="1:13" ht="15.75" customHeight="1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</row>
    <row r="876" spans="1:13" ht="15.75" customHeight="1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</row>
    <row r="877" spans="1:13" ht="15.75" customHeight="1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</row>
    <row r="878" spans="1:13" ht="15.75" customHeight="1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</row>
    <row r="879" spans="1:13" ht="15.75" customHeight="1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</row>
    <row r="880" spans="1:13" ht="15.75" customHeight="1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</row>
    <row r="881" spans="1:13" ht="15.75" customHeight="1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</row>
    <row r="882" spans="1:13" ht="15.75" customHeight="1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</row>
    <row r="883" spans="1:13" ht="15.75" customHeight="1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</row>
    <row r="884" spans="1:13" ht="15.75" customHeight="1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</row>
    <row r="885" spans="1:13" ht="15.75" customHeight="1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</row>
    <row r="886" spans="1:13" ht="15.75" customHeight="1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</row>
    <row r="887" spans="1:13" ht="15.75" customHeight="1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</row>
    <row r="888" spans="1:13" ht="15.75" customHeight="1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</row>
    <row r="889" spans="1:13" ht="15.75" customHeight="1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</row>
    <row r="890" spans="1:13" ht="15.75" customHeight="1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</row>
    <row r="891" spans="1:13" ht="15.75" customHeight="1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</row>
    <row r="892" spans="1:13" ht="15.75" customHeight="1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</row>
    <row r="893" spans="1:13" ht="15.75" customHeight="1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</row>
    <row r="894" spans="1:13" ht="15.75" customHeight="1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</row>
    <row r="895" spans="1:13" ht="15.75" customHeight="1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</row>
    <row r="896" spans="1:13" ht="15.75" customHeight="1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</row>
    <row r="897" spans="1:13" ht="15.75" customHeight="1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</row>
    <row r="898" spans="1:13" ht="15.75" customHeight="1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</row>
    <row r="899" spans="1:13" ht="15.75" customHeight="1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</row>
    <row r="900" spans="1:13" ht="15.75" customHeight="1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</row>
    <row r="901" spans="1:13" ht="15.75" customHeight="1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</row>
    <row r="902" spans="1:13" ht="15.75" customHeight="1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</row>
    <row r="903" spans="1:13" ht="15.75" customHeight="1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</row>
    <row r="904" spans="1:13" ht="15.75" customHeight="1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</row>
    <row r="905" spans="1:13" ht="15.75" customHeight="1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</row>
    <row r="906" spans="1:13" ht="15.75" customHeight="1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</row>
    <row r="907" spans="1:13" ht="15.75" customHeight="1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</row>
    <row r="908" spans="1:13" ht="15.75" customHeight="1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</row>
    <row r="909" spans="1:13" ht="15.75" customHeight="1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</row>
    <row r="910" spans="1:13" ht="15.75" customHeight="1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</row>
    <row r="911" spans="1:13" ht="15.75" customHeight="1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</row>
    <row r="912" spans="1:13" ht="15.75" customHeight="1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</row>
    <row r="913" spans="1:13" ht="15.75" customHeight="1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</row>
    <row r="914" spans="1:13" ht="15.75" customHeight="1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</row>
    <row r="915" spans="1:13" ht="15.75" customHeight="1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</row>
    <row r="916" spans="1:13" ht="15.75" customHeight="1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</row>
    <row r="917" spans="1:13" ht="15.75" customHeight="1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</row>
    <row r="918" spans="1:13" ht="15.75" customHeight="1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</row>
    <row r="919" spans="1:13" ht="15.75" customHeight="1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</row>
    <row r="920" spans="1:13" ht="15.75" customHeight="1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</row>
    <row r="921" spans="1:13" ht="15.75" customHeight="1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</row>
    <row r="922" spans="1:13" ht="15.75" customHeight="1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</row>
    <row r="923" spans="1:13" ht="15.75" customHeight="1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</row>
    <row r="924" spans="1:13" ht="15.75" customHeight="1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</row>
    <row r="925" spans="1:13" ht="15.75" customHeight="1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</row>
    <row r="926" spans="1:13" ht="15.75" customHeight="1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</row>
    <row r="927" spans="1:13" ht="15.75" customHeight="1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</row>
    <row r="928" spans="1:13" ht="15.75" customHeight="1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</row>
    <row r="929" spans="1:13" ht="15.75" customHeight="1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</row>
    <row r="930" spans="1:13" ht="15.75" customHeight="1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</row>
    <row r="931" spans="1:13" ht="15.75" customHeight="1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</row>
    <row r="932" spans="1:13" ht="15.75" customHeight="1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</row>
    <row r="933" spans="1:13" ht="15.75" customHeight="1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</row>
    <row r="934" spans="1:13" ht="15.75" customHeight="1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</row>
    <row r="935" spans="1:13" ht="15.75" customHeight="1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</row>
    <row r="936" spans="1:13" ht="15.75" customHeight="1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</row>
    <row r="937" spans="1:13" ht="15.75" customHeight="1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</row>
    <row r="938" spans="1:13" ht="15.75" customHeight="1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</row>
    <row r="939" spans="1:13" ht="15.75" customHeight="1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</row>
    <row r="940" spans="1:13" ht="15.75" customHeight="1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</row>
    <row r="941" spans="1:13" ht="15.75" customHeight="1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</row>
    <row r="942" spans="1:13" ht="15.75" customHeight="1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</row>
    <row r="943" spans="1:13" ht="15.75" customHeight="1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</row>
    <row r="944" spans="1:13" ht="15.75" customHeight="1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</row>
    <row r="945" spans="1:13" ht="15.75" customHeight="1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</row>
    <row r="946" spans="1:13" ht="15.75" customHeight="1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</row>
    <row r="947" spans="1:13" ht="15.75" customHeight="1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</row>
    <row r="948" spans="1:13" ht="15.75" customHeight="1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</row>
    <row r="949" spans="1:13" ht="15.75" customHeight="1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</row>
    <row r="950" spans="1:13" ht="15.75" customHeight="1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</row>
    <row r="951" spans="1:13" ht="15.75" customHeight="1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</row>
    <row r="952" spans="1:13" ht="15.75" customHeight="1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</row>
    <row r="953" spans="1:13" ht="15.75" customHeight="1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</row>
    <row r="954" spans="1:13" ht="15.75" customHeight="1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</row>
    <row r="955" spans="1:13" ht="15.75" customHeight="1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</row>
    <row r="956" spans="1:13" ht="15.75" customHeight="1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</row>
    <row r="957" spans="1:13" ht="15.75" customHeight="1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</row>
    <row r="958" spans="1:13" ht="15.75" customHeight="1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</row>
    <row r="959" spans="1:13" ht="15.75" customHeight="1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</row>
    <row r="960" spans="1:13" ht="15.75" customHeight="1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</row>
    <row r="961" spans="1:13" ht="15.75" customHeight="1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</row>
    <row r="962" spans="1:13" ht="15.75" customHeight="1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</row>
    <row r="963" spans="1:13" ht="15.75" customHeight="1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</row>
    <row r="964" spans="1:13" ht="15.75" customHeight="1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</row>
    <row r="965" spans="1:13" ht="15.75" customHeight="1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</row>
    <row r="966" spans="1:13" ht="15.75" customHeight="1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</row>
    <row r="967" spans="1:13" ht="15.75" customHeight="1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</row>
    <row r="968" spans="1:13" ht="15.75" customHeight="1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</row>
    <row r="969" spans="1:13" ht="15.75" customHeight="1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</row>
    <row r="970" spans="1:13" ht="15.75" customHeight="1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</row>
    <row r="971" spans="1:13" ht="15.75" customHeight="1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</row>
    <row r="972" spans="1:13" ht="15.75" customHeight="1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</row>
    <row r="973" spans="1:13" ht="15.75" customHeight="1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</row>
    <row r="974" spans="1:13" ht="15.75" customHeight="1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</row>
    <row r="975" spans="1:13" ht="15.75" customHeight="1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</row>
    <row r="976" spans="1:13" ht="15.75" customHeight="1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</row>
    <row r="977" spans="1:13" ht="15.75" customHeight="1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</row>
    <row r="978" spans="1:13" ht="15.75" customHeight="1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</row>
    <row r="979" spans="1:13" ht="15.75" customHeight="1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</row>
    <row r="980" spans="1:13" ht="15.75" customHeight="1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</row>
    <row r="981" spans="1:13" ht="15.75" customHeight="1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</row>
    <row r="982" spans="1:13" ht="15.75" customHeight="1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</row>
    <row r="983" spans="1:13" ht="15.75" customHeight="1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</row>
    <row r="984" spans="1:13" ht="15.75" customHeight="1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</row>
    <row r="985" spans="1:13" ht="15.75" customHeight="1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</row>
    <row r="986" spans="1:13" ht="15.75" customHeight="1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</row>
    <row r="987" spans="1:13" ht="15.75" customHeight="1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</row>
    <row r="988" spans="1:13" ht="15.75" customHeight="1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</row>
    <row r="989" spans="1:13" ht="15.75" customHeight="1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</row>
    <row r="990" spans="1:13" ht="15.75" customHeight="1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</row>
    <row r="991" spans="1:13" ht="15.75" customHeight="1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</row>
    <row r="992" spans="1:13" ht="15.75" customHeight="1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</row>
    <row r="993" spans="1:13" ht="15.75" customHeight="1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</row>
    <row r="994" spans="1:13" ht="15.75" customHeight="1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</row>
    <row r="995" spans="1:13" ht="15.75" customHeight="1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</row>
    <row r="996" spans="1:13" ht="15.75" customHeight="1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</row>
    <row r="997" spans="1:13" ht="15.75" customHeight="1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</row>
    <row r="998" spans="1:13" ht="15.75" customHeight="1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</row>
    <row r="999" spans="1:13" ht="15.75" customHeight="1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</row>
    <row r="1000" spans="1:13" ht="15.75" customHeight="1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</row>
  </sheetData>
  <hyperlinks>
    <hyperlink ref="B2" r:id="rId1" xr:uid="{00000000-0004-0000-0300-000000000000}"/>
    <hyperlink ref="B3" r:id="rId2" xr:uid="{00000000-0004-0000-0300-000001000000}"/>
    <hyperlink ref="B4" r:id="rId3" xr:uid="{00000000-0004-0000-0300-000002000000}"/>
    <hyperlink ref="B5" r:id="rId4" xr:uid="{00000000-0004-0000-0300-000003000000}"/>
    <hyperlink ref="B6" r:id="rId5" xr:uid="{00000000-0004-0000-0300-000004000000}"/>
  </hyperlinks>
  <pageMargins left="0.7" right="0.7" top="0.75" bottom="0.75" header="0.3" footer="0.3"/>
  <customProperties>
    <customPr name="ORB_SHEETNAME" r:id="rId6"/>
  </customPropertie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300-000000000000}">
          <x14:formula1>
            <xm:f>'Adobe Parameters'!$A$2:$A$6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B6"/>
  <sheetViews>
    <sheetView workbookViewId="0"/>
  </sheetViews>
  <sheetFormatPr defaultColWidth="14.453125" defaultRowHeight="15.75" customHeight="1" x14ac:dyDescent="0.25"/>
  <sheetData>
    <row r="1" spans="1:2" ht="15.75" customHeight="1" x14ac:dyDescent="0.35">
      <c r="A1" s="20" t="s">
        <v>570</v>
      </c>
      <c r="B1" s="19" t="s">
        <v>571</v>
      </c>
    </row>
    <row r="2" spans="1:2" ht="15.75" customHeight="1" x14ac:dyDescent="0.35">
      <c r="A2" s="20" t="s">
        <v>538</v>
      </c>
    </row>
    <row r="3" spans="1:2" ht="15.75" customHeight="1" x14ac:dyDescent="0.35">
      <c r="A3" s="20" t="s">
        <v>544</v>
      </c>
    </row>
    <row r="4" spans="1:2" ht="15.75" customHeight="1" x14ac:dyDescent="0.35">
      <c r="A4" s="20" t="s">
        <v>550</v>
      </c>
    </row>
    <row r="5" spans="1:2" ht="15.75" customHeight="1" x14ac:dyDescent="0.35">
      <c r="A5" s="20" t="s">
        <v>556</v>
      </c>
    </row>
    <row r="6" spans="1:2" ht="15.75" customHeight="1" x14ac:dyDescent="0.35">
      <c r="A6" s="20" t="s">
        <v>563</v>
      </c>
    </row>
  </sheetData>
  <pageMargins left="0.7" right="0.7" top="0.75" bottom="0.75" header="0.3" footer="0.3"/>
  <customProperties>
    <customPr name="ORB_SHEETNAME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b7acfe4b-9269-4e4f-8a2a-da35b0da6780" xsi:nil="true"/>
    <_ip_UnifiedCompliancePolicyProperties xmlns="http://schemas.microsoft.com/sharepoint/v3" xsi:nil="true"/>
    <lcf76f155ced4ddcb4097134ff3c332f xmlns="5e5c9fdf-94f3-4a95-9e29-65062544fb97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CCC0EE6E765044958ADDDFD23D0606" ma:contentTypeVersion="25" ma:contentTypeDescription="Create a new document." ma:contentTypeScope="" ma:versionID="4c9c71703738b375c8de5968572ff5b5">
  <xsd:schema xmlns:xsd="http://www.w3.org/2001/XMLSchema" xmlns:xs="http://www.w3.org/2001/XMLSchema" xmlns:p="http://schemas.microsoft.com/office/2006/metadata/properties" xmlns:ns1="http://schemas.microsoft.com/sharepoint/v3" xmlns:ns2="5e5c9fdf-94f3-4a95-9e29-65062544fb97" xmlns:ns3="b7acfe4b-9269-4e4f-8a2a-da35b0da6780" targetNamespace="http://schemas.microsoft.com/office/2006/metadata/properties" ma:root="true" ma:fieldsID="58820995950dae6f14ab015c29661577" ns1:_="" ns2:_="" ns3:_="">
    <xsd:import namespace="http://schemas.microsoft.com/sharepoint/v3"/>
    <xsd:import namespace="5e5c9fdf-94f3-4a95-9e29-65062544fb97"/>
    <xsd:import namespace="b7acfe4b-9269-4e4f-8a2a-da35b0da67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OCR" minOccurs="0"/>
                <xsd:element ref="ns2:MediaServiceLocation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5c9fdf-94f3-4a95-9e29-65062544fb9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827aa40-00d4-4c57-ae61-1e0a9ce8b96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acfe4b-9269-4e4f-8a2a-da35b0da678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e5bfe73a-7957-4404-b5a6-7669b1b6c421}" ma:internalName="TaxCatchAll" ma:showField="CatchAllData" ma:web="b7acfe4b-9269-4e4f-8a2a-da35b0da678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70679D-336D-4582-8467-02F99003E441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b7acfe4b-9269-4e4f-8a2a-da35b0da6780"/>
    <ds:schemaRef ds:uri="5e5c9fdf-94f3-4a95-9e29-65062544fb97"/>
  </ds:schemaRefs>
</ds:datastoreItem>
</file>

<file path=customXml/itemProps2.xml><?xml version="1.0" encoding="utf-8"?>
<ds:datastoreItem xmlns:ds="http://schemas.openxmlformats.org/officeDocument/2006/customXml" ds:itemID="{BCCA6C8A-ADA2-4C0F-A93B-6BDCD430A4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D26223-D300-4202-97FE-58EC45D915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5e5c9fdf-94f3-4a95-9e29-65062544fb97"/>
    <ds:schemaRef ds:uri="b7acfe4b-9269-4e4f-8a2a-da35b0da67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ChannelTrackingCode</vt:lpstr>
      <vt:lpstr>ChannelTrackingValues</vt:lpstr>
      <vt:lpstr>Sheet1</vt:lpstr>
      <vt:lpstr>SEM Region Mapping Tab</vt:lpstr>
      <vt:lpstr>Copy of UTM Code Generator</vt:lpstr>
      <vt:lpstr>Adobe Campaign Code Generator</vt:lpstr>
      <vt:lpstr>Adobe Parameters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Cathy Poley</dc:creator>
  <cp:keywords/>
  <dc:description/>
  <cp:lastModifiedBy>Uday Gutipally</cp:lastModifiedBy>
  <cp:revision/>
  <dcterms:created xsi:type="dcterms:W3CDTF">2020-05-04T13:47:08Z</dcterms:created>
  <dcterms:modified xsi:type="dcterms:W3CDTF">2026-07-27T11:39:44Z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0x0101002FCCC0EE6E765044958ADDDFD23D0606</vt:lpwstr>
  </property>
  <property fmtid="{D5CDD505-2E9C-101B-9397-08002B2CF9AE}" pid="3" name="MediaServiceImageTags">
    <vt:lpwstr/>
  </property>
</Properties>
</file>